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Regr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<sst xmlns="http://schemas.openxmlformats.org/spreadsheetml/2006/main" count="665" uniqueCount="277">
  <si>
    <t xml:space="preserve">EQUIPAMENTOS</t>
  </si>
  <si>
    <t xml:space="preserve">ATRIBUTOS</t>
  </si>
  <si>
    <t xml:space="preserve">EQUIPAMENTO</t>
  </si>
  <si>
    <t xml:space="preserve">LOCALIZAÇÃO</t>
  </si>
  <si>
    <t xml:space="preserve">Coluna1</t>
  </si>
  <si>
    <t xml:space="preserve">Coluna2</t>
  </si>
  <si>
    <t xml:space="preserve">TIPO</t>
  </si>
  <si>
    <t xml:space="preserve">SIGLA</t>
  </si>
  <si>
    <t xml:space="preserve">BLOCO</t>
  </si>
  <si>
    <t xml:space="preserve">Coluna4</t>
  </si>
  <si>
    <t xml:space="preserve">Coluna5</t>
  </si>
  <si>
    <t xml:space="preserve">FUNÇÃO</t>
  </si>
  <si>
    <t xml:space="preserve">Descrição</t>
  </si>
  <si>
    <t xml:space="preserve">SEQUENCIAL</t>
  </si>
  <si>
    <t xml:space="preserve">ÁREA</t>
  </si>
  <si>
    <t xml:space="preserve">LINHA</t>
  </si>
  <si>
    <t xml:space="preserve">GRUPO</t>
  </si>
  <si>
    <t xml:space="preserve">A</t>
  </si>
  <si>
    <t xml:space="preserve">L</t>
  </si>
  <si>
    <t xml:space="preserve">ALIMENTADOR</t>
  </si>
  <si>
    <t xml:space="preserve">S</t>
  </si>
  <si>
    <t xml:space="preserve">N</t>
  </si>
  <si>
    <t xml:space="preserve">SENSOR DE NIVEL</t>
  </si>
  <si>
    <t xml:space="preserve">ALTO</t>
  </si>
  <si>
    <t xml:space="preserve">EL</t>
  </si>
  <si>
    <t xml:space="preserve">0</t>
  </si>
  <si>
    <t xml:space="preserve">-</t>
  </si>
  <si>
    <t xml:space="preserve">R</t>
  </si>
  <si>
    <t xml:space="preserve">B</t>
  </si>
  <si>
    <t xml:space="preserve">BALANÇA</t>
  </si>
  <si>
    <t xml:space="preserve">M</t>
  </si>
  <si>
    <t xml:space="preserve">MÉDIO</t>
  </si>
  <si>
    <t xml:space="preserve">BOMBA</t>
  </si>
  <si>
    <t xml:space="preserve">BAIXO</t>
  </si>
  <si>
    <t xml:space="preserve">R = RECEBIMENTO</t>
  </si>
  <si>
    <t xml:space="preserve">T</t>
  </si>
  <si>
    <t xml:space="preserve">BOTOEIRA</t>
  </si>
  <si>
    <t xml:space="preserve">P</t>
  </si>
  <si>
    <t xml:space="preserve">SENSOR DE POSIÇÃO</t>
  </si>
  <si>
    <t xml:space="preserve">ABERTO</t>
  </si>
  <si>
    <t xml:space="preserve">A= PLANTA A</t>
  </si>
  <si>
    <t xml:space="preserve">C</t>
  </si>
  <si>
    <t xml:space="preserve">V</t>
  </si>
  <si>
    <t xml:space="preserve">CALHA VIBRATÓRIA</t>
  </si>
  <si>
    <t xml:space="preserve">F</t>
  </si>
  <si>
    <t xml:space="preserve">FECHADO</t>
  </si>
  <si>
    <t xml:space="preserve">B= PLANTA B</t>
  </si>
  <si>
    <t xml:space="preserve">D</t>
  </si>
  <si>
    <t xml:space="preserve">CONDICIONADOR</t>
  </si>
  <si>
    <t xml:space="preserve">SUPERIOR</t>
  </si>
  <si>
    <t xml:space="preserve">C= PLANTA C</t>
  </si>
  <si>
    <t xml:space="preserve">E</t>
  </si>
  <si>
    <t xml:space="preserve">ELEVADOR</t>
  </si>
  <si>
    <t xml:space="preserve">I</t>
  </si>
  <si>
    <t xml:space="preserve">INFERIROR</t>
  </si>
  <si>
    <t xml:space="preserve">D= PLANTA D</t>
  </si>
  <si>
    <t xml:space="preserve">ENSACADEIRA</t>
  </si>
  <si>
    <t xml:space="preserve">DIANTEIRO</t>
  </si>
  <si>
    <t xml:space="preserve">X</t>
  </si>
  <si>
    <t xml:space="preserve">EXAUSTOR</t>
  </si>
  <si>
    <t xml:space="preserve">TRASEIRO</t>
  </si>
  <si>
    <t xml:space="preserve">EXTRUSORA</t>
  </si>
  <si>
    <t xml:space="preserve">ELETRO VÁLVULA</t>
  </si>
  <si>
    <t xml:space="preserve">ABRE</t>
  </si>
  <si>
    <t xml:space="preserve">FILTRO</t>
  </si>
  <si>
    <t xml:space="preserve">FECHA</t>
  </si>
  <si>
    <t xml:space="preserve">MISTURADOR</t>
  </si>
  <si>
    <t xml:space="preserve">TRAVA SEGURANÇA</t>
  </si>
  <si>
    <t xml:space="preserve">FECHADA</t>
  </si>
  <si>
    <t xml:space="preserve">G</t>
  </si>
  <si>
    <t xml:space="preserve">MOEGA</t>
  </si>
  <si>
    <t xml:space="preserve">TRAVA </t>
  </si>
  <si>
    <t xml:space="preserve">O</t>
  </si>
  <si>
    <t xml:space="preserve">MOINHO</t>
  </si>
  <si>
    <t xml:space="preserve">BOTÃO</t>
  </si>
  <si>
    <t xml:space="preserve">EMERGENCIA</t>
  </si>
  <si>
    <t xml:space="preserve">PENEIRA</t>
  </si>
  <si>
    <t xml:space="preserve">RESET</t>
  </si>
  <si>
    <t xml:space="preserve">PRENSA</t>
  </si>
  <si>
    <t xml:space="preserve">LIGA</t>
  </si>
  <si>
    <t xml:space="preserve">EL01-R101</t>
  </si>
  <si>
    <t xml:space="preserve">Q</t>
  </si>
  <si>
    <t xml:space="preserve">QUEBRADOR DE GRUMOS</t>
  </si>
  <si>
    <t xml:space="preserve">DESLIGA</t>
  </si>
  <si>
    <t xml:space="preserve">TC01-R101</t>
  </si>
  <si>
    <t xml:space="preserve">QUEIMADOR</t>
  </si>
  <si>
    <t xml:space="preserve">GP01-R101</t>
  </si>
  <si>
    <t xml:space="preserve">SPA1-GP01-R101</t>
  </si>
  <si>
    <t xml:space="preserve">RECOBRIDOR</t>
  </si>
  <si>
    <t xml:space="preserve">SPF1-GP01-R101</t>
  </si>
  <si>
    <t xml:space="preserve">RESFRIADOR</t>
  </si>
  <si>
    <t xml:space="preserve">MANUAL</t>
  </si>
  <si>
    <t xml:space="preserve">EVA1-GP01-R101</t>
  </si>
  <si>
    <t xml:space="preserve">RESISTÊNCIA</t>
  </si>
  <si>
    <t xml:space="preserve">U</t>
  </si>
  <si>
    <t xml:space="preserve">AUTOMÁTICO</t>
  </si>
  <si>
    <t xml:space="preserve">EVF1-GP01-R101</t>
  </si>
  <si>
    <t xml:space="preserve">ROSCA</t>
  </si>
  <si>
    <t xml:space="preserve">MOTOR</t>
  </si>
  <si>
    <t xml:space="preserve">ELÉTRICO</t>
  </si>
  <si>
    <t xml:space="preserve">GP02-R101</t>
  </si>
  <si>
    <t xml:space="preserve">SPA1-GP02-R101</t>
  </si>
  <si>
    <t xml:space="preserve">SECADOR</t>
  </si>
  <si>
    <t xml:space="preserve">ALIMENTAÇÃO</t>
  </si>
  <si>
    <t xml:space="preserve">POTÊNCIA</t>
  </si>
  <si>
    <t xml:space="preserve">SPF1-GP02-R101</t>
  </si>
  <si>
    <t xml:space="preserve">SEPARADOR MAGNÉTICO</t>
  </si>
  <si>
    <t xml:space="preserve">CHAVE LOTO</t>
  </si>
  <si>
    <t xml:space="preserve">LIGADA</t>
  </si>
  <si>
    <t xml:space="preserve">EVA1-GP02-R101</t>
  </si>
  <si>
    <t xml:space="preserve">SILOS</t>
  </si>
  <si>
    <t xml:space="preserve">SENSOR DE SEGURANÇA</t>
  </si>
  <si>
    <t xml:space="preserve">EVF1-GP02-R101</t>
  </si>
  <si>
    <t xml:space="preserve">SOPRADOR</t>
  </si>
  <si>
    <t xml:space="preserve">TRAVA DE SEGURANÇA</t>
  </si>
  <si>
    <t xml:space="preserve">DESTRAVADA</t>
  </si>
  <si>
    <t xml:space="preserve">TALHA</t>
  </si>
  <si>
    <t xml:space="preserve">SENSOR DE TEMPERATURA</t>
  </si>
  <si>
    <t xml:space="preserve">VARIAVEL</t>
  </si>
  <si>
    <t xml:space="preserve">TORRE RESFRIAMENTO</t>
  </si>
  <si>
    <t xml:space="preserve">TRANSPORTADOR CORRENTE</t>
  </si>
  <si>
    <t xml:space="preserve">TRANSPORTADOR FITA</t>
  </si>
  <si>
    <t xml:space="preserve">SENSOR DE MOVIMENTO</t>
  </si>
  <si>
    <t xml:space="preserve">ACIONADO</t>
  </si>
  <si>
    <t xml:space="preserve">TRITURADOR</t>
  </si>
  <si>
    <t xml:space="preserve">SENSOR EMBUCHAMENTO</t>
  </si>
  <si>
    <t xml:space="preserve">C </t>
  </si>
  <si>
    <t xml:space="preserve">TROCADOR DE CALOR</t>
  </si>
  <si>
    <t xml:space="preserve">GAVETA MANUAL</t>
  </si>
  <si>
    <t xml:space="preserve">SENSOR DESALINHAMENTO</t>
  </si>
  <si>
    <t xml:space="preserve">GAVETA PNEUMÁTICA</t>
  </si>
  <si>
    <t xml:space="preserve">GAVETA ACOPLADORA</t>
  </si>
  <si>
    <t xml:space="preserve">SENSOR DE FLUXO</t>
  </si>
  <si>
    <t xml:space="preserve">VARIÁVEL</t>
  </si>
  <si>
    <t xml:space="preserve">H</t>
  </si>
  <si>
    <t xml:space="preserve">GAVETA HIDRÁULICA</t>
  </si>
  <si>
    <t xml:space="preserve">SENSOR DE PRESSÃO </t>
  </si>
  <si>
    <t xml:space="preserve">VIBRADOR</t>
  </si>
  <si>
    <t xml:space="preserve">BIFURCADA</t>
  </si>
  <si>
    <t xml:space="preserve">DISTRIBUIDOR</t>
  </si>
  <si>
    <t xml:space="preserve">SENSOR DETECÇÃO DE PARTICULAS</t>
  </si>
  <si>
    <t xml:space="preserve">TANQUE</t>
  </si>
  <si>
    <t xml:space="preserve">PULMÃO</t>
  </si>
  <si>
    <t xml:space="preserve">BOMBA HELICOIDAL</t>
  </si>
  <si>
    <t xml:space="preserve">BOMBA PNEUMÁTICA</t>
  </si>
  <si>
    <t xml:space="preserve">BOMBA CENTRIFUGA</t>
  </si>
  <si>
    <t xml:space="preserve">CICLONE</t>
  </si>
  <si>
    <t xml:space="preserve">DISTIBUIDOR ROTATIVO</t>
  </si>
  <si>
    <t xml:space="preserve">ECLUSA</t>
  </si>
  <si>
    <t xml:space="preserve">ESPELHADOR </t>
  </si>
  <si>
    <t xml:space="preserve">FILTRO PONTUAL</t>
  </si>
  <si>
    <t xml:space="preserve">FILTRO MANGA</t>
  </si>
  <si>
    <t xml:space="preserve">GRELHA</t>
  </si>
  <si>
    <t xml:space="preserve">IMÃ</t>
  </si>
  <si>
    <t xml:space="preserve">MISTURADOR HORIZONTAL</t>
  </si>
  <si>
    <t xml:space="preserve">MOINHO MARTELO</t>
  </si>
  <si>
    <t xml:space="preserve">PRÉ MISTURADOR</t>
  </si>
  <si>
    <t xml:space="preserve">PENEIRA VIBRATÓRIA</t>
  </si>
  <si>
    <t xml:space="preserve">ROBO MANIPULADOR</t>
  </si>
  <si>
    <t xml:space="preserve">ROBO PALETIZADOR</t>
  </si>
  <si>
    <t xml:space="preserve">TRANSPORTADOR HELICOIDAL</t>
  </si>
  <si>
    <t xml:space="preserve">ROLO</t>
  </si>
  <si>
    <t xml:space="preserve">COMPORTA</t>
  </si>
  <si>
    <t xml:space="preserve">VENTILADOR</t>
  </si>
  <si>
    <t xml:space="preserve">BAMBA DE VÁCUO</t>
  </si>
  <si>
    <t xml:space="preserve">AGITADOR</t>
  </si>
  <si>
    <t xml:space="preserve">VÁLVULA PILOTADA</t>
  </si>
  <si>
    <t xml:space="preserve">VÁLVULA BORBOLETA</t>
  </si>
  <si>
    <t xml:space="preserve">VÁLVULA ESFERA</t>
  </si>
  <si>
    <t xml:space="preserve">VALVULA MANUAL</t>
  </si>
  <si>
    <t xml:space="preserve">VÁLVULA PROPORCIONAL</t>
  </si>
  <si>
    <t xml:space="preserve">VÁLVULA ELÉTRICA</t>
  </si>
  <si>
    <t xml:space="preserve">SEQUENCIADOR</t>
  </si>
  <si>
    <t xml:space="preserve">SENSOR SEGURANÇA</t>
  </si>
  <si>
    <t xml:space="preserve">SENSOR TEMPERATURA</t>
  </si>
  <si>
    <t xml:space="preserve">SENSOR MOVIMENTO </t>
  </si>
  <si>
    <t xml:space="preserve">SENSOR DE PRESSÃO</t>
  </si>
  <si>
    <t xml:space="preserve">SENSOR DETECÇÃO PARTICULAS</t>
  </si>
  <si>
    <t xml:space="preserve">BANCO CILINDRO</t>
  </si>
  <si>
    <t xml:space="preserve">REGRAS DE FORMAÇÃO DE TAGs — PADRÃO STW</t>
  </si>
  <si>
    <t xml:space="preserve">Esta folha documenta as máscaras de TAG, a legenda de áreas e exemplos. Células amarelas são editáveis; as demais são calculadas.</t>
  </si>
  <si>
    <t xml:space="preserve">Legenda:</t>
  </si>
  <si>
    <t xml:space="preserve">Editável</t>
  </si>
  <si>
    <t xml:space="preserve">Calculado</t>
  </si>
  <si>
    <t xml:space="preserve">1. TAG de equipamento — máscara  AA00-A000</t>
  </si>
  <si>
    <t xml:space="preserve">Letras (A) = alfabético · Dígitos (0) = numérico · “-” = separador fixo</t>
  </si>
  <si>
    <t xml:space="preserve">Posição</t>
  </si>
  <si>
    <t xml:space="preserve">Campo</t>
  </si>
  <si>
    <t xml:space="preserve">Tamanho</t>
  </si>
  <si>
    <t xml:space="preserve">Tipo</t>
  </si>
  <si>
    <t xml:space="preserve">Valores válidos</t>
  </si>
  <si>
    <t xml:space="preserve">Regra</t>
  </si>
  <si>
    <t xml:space="preserve">Exemplo</t>
  </si>
  <si>
    <t xml:space="preserve">1–2</t>
  </si>
  <si>
    <t xml:space="preserve">Sigla</t>
  </si>
  <si>
    <t xml:space="preserve">2</t>
  </si>
  <si>
    <t xml:space="preserve">Letras</t>
  </si>
  <si>
    <t xml:space="preserve">Tabela2 (coluna SIGLA)</t>
  </si>
  <si>
    <t xml:space="preserve">Tipo de equipamento, conforme Tabela2 da Planilha1</t>
  </si>
  <si>
    <t xml:space="preserve">3–4</t>
  </si>
  <si>
    <t xml:space="preserve">Sequencial</t>
  </si>
  <si>
    <t xml:space="preserve">Dígitos</t>
  </si>
  <si>
    <t xml:space="preserve">01 a 99</t>
  </si>
  <si>
    <t xml:space="preserve">Numera equipamentos do mesmo tipo no mesmo grupo, a partir de 01</t>
  </si>
  <si>
    <t xml:space="preserve">01</t>
  </si>
  <si>
    <t xml:space="preserve">5</t>
  </si>
  <si>
    <t xml:space="preserve">Separador</t>
  </si>
  <si>
    <t xml:space="preserve">1</t>
  </si>
  <si>
    <t xml:space="preserve">Fixo</t>
  </si>
  <si>
    <t xml:space="preserve">Separa identificação e localização</t>
  </si>
  <si>
    <t xml:space="preserve">6</t>
  </si>
  <si>
    <t xml:space="preserve">Área</t>
  </si>
  <si>
    <t xml:space="preserve">Letra</t>
  </si>
  <si>
    <t xml:space="preserve">R, A, B, C, D</t>
  </si>
  <si>
    <t xml:space="preserve">Ver legenda de áreas (item 3)</t>
  </si>
  <si>
    <t xml:space="preserve">7</t>
  </si>
  <si>
    <t xml:space="preserve">Linha</t>
  </si>
  <si>
    <t xml:space="preserve">Dígito</t>
  </si>
  <si>
    <t xml:space="preserve">1 a 9</t>
  </si>
  <si>
    <t xml:space="preserve">Linha de produção dentro da área</t>
  </si>
  <si>
    <t xml:space="preserve">8–9</t>
  </si>
  <si>
    <t xml:space="preserve">Grupo</t>
  </si>
  <si>
    <t xml:space="preserve">Conjunto de equipamentos dentro da linha</t>
  </si>
  <si>
    <t xml:space="preserve">Resultado:</t>
  </si>
  <si>
    <t xml:space="preserve">→ Elevador nº 01 · Recebimento · linha 1 · grupo 01</t>
  </si>
  <si>
    <t xml:space="preserve">2. TAG de atributo (sinal) — máscara  AAA0-AA00-A000</t>
  </si>
  <si>
    <t xml:space="preserve">O atributo sempre termina com o TAG completo do equipamento “pai”.</t>
  </si>
  <si>
    <t xml:space="preserve">Tabela1 (Coluna1)</t>
  </si>
  <si>
    <t xml:space="preserve">S = sensor, E = eletroválvula, B = botão, T = trava, M = motor…</t>
  </si>
  <si>
    <t xml:space="preserve">Variável</t>
  </si>
  <si>
    <t xml:space="preserve">Tabela1 (Coluna2)</t>
  </si>
  <si>
    <t xml:space="preserve">N = nível, P = posição, T = temperatura, R = pressão…</t>
  </si>
  <si>
    <t xml:space="preserve">3</t>
  </si>
  <si>
    <t xml:space="preserve">Função / estado</t>
  </si>
  <si>
    <t xml:space="preserve">Tabela1 (Coluna4)</t>
  </si>
  <si>
    <t xml:space="preserve">A = aberto/alto, F = fechado, B = baixo, V = variável…</t>
  </si>
  <si>
    <t xml:space="preserve">4</t>
  </si>
  <si>
    <t xml:space="preserve">Índice</t>
  </si>
  <si>
    <t xml:space="preserve">Diferencia sinais iguais no mesmo equipamento</t>
  </si>
  <si>
    <t xml:space="preserve">Separa o sinal do equipamento</t>
  </si>
  <si>
    <t xml:space="preserve">6–14</t>
  </si>
  <si>
    <t xml:space="preserve">Equipamento pai</t>
  </si>
  <si>
    <t xml:space="preserve">9</t>
  </si>
  <si>
    <t xml:space="preserve">Máscara</t>
  </si>
  <si>
    <t xml:space="preserve">AA00-A000</t>
  </si>
  <si>
    <t xml:space="preserve">TAG completo do equipamento (item 1)</t>
  </si>
  <si>
    <t xml:space="preserve">→ Sensor de posição “aberto” nº 1 da Gaveta pneumática 01</t>
  </si>
  <si>
    <t xml:space="preserve">3. Legenda de áreas</t>
  </si>
  <si>
    <t xml:space="preserve">Código</t>
  </si>
  <si>
    <t xml:space="preserve">Recebimento</t>
  </si>
  <si>
    <t xml:space="preserve">Planta A</t>
  </si>
  <si>
    <t xml:space="preserve">Planta B</t>
  </si>
  <si>
    <t xml:space="preserve">Planta C</t>
  </si>
  <si>
    <t xml:space="preserve">Planta D</t>
  </si>
  <si>
    <t xml:space="preserve">4. Exemplos — equipamento (decomposição automática)</t>
  </si>
  <si>
    <t xml:space="preserve">Digite o TAG na coluna B; as demais colunas são calculadas.</t>
  </si>
  <si>
    <t xml:space="preserve">TAG</t>
  </si>
  <si>
    <t xml:space="preserve">Linha / Grupo</t>
  </si>
  <si>
    <t xml:space="preserve">Equipamento</t>
  </si>
  <si>
    <t xml:space="preserve">Formato OK?</t>
  </si>
  <si>
    <t xml:space="preserve">Obs.: TC está cadastrada duas vezes na Tabela2 (Transportador corrente e Trocador de calor); a busca retorna a primeira ocorrência.</t>
  </si>
  <si>
    <t xml:space="preserve">5. Exemplos — atributo (decomposição automática)</t>
  </si>
  <si>
    <t xml:space="preserve">Função</t>
  </si>
  <si>
    <t xml:space="preserve">Descrição do sinal</t>
  </si>
  <si>
    <t xml:space="preserve">6. Regras gerais</t>
  </si>
  <si>
    <t xml:space="preserve">1.</t>
  </si>
  <si>
    <t xml:space="preserve">Todo TAG deve ser único em todo o projeto.</t>
  </si>
  <si>
    <t xml:space="preserve">2.</t>
  </si>
  <si>
    <t xml:space="preserve">Usar apenas letras maiúsculas sem acento, dígitos e o hífen “-”. Sem espaços.</t>
  </si>
  <si>
    <t xml:space="preserve">3.</t>
  </si>
  <si>
    <t xml:space="preserve">Sequenciais sempre com zeros à esquerda (01, 02 … 99).</t>
  </si>
  <si>
    <t xml:space="preserve">4.</t>
  </si>
  <si>
    <t xml:space="preserve">A sigla de equipamento deve existir na Tabela2 e o código de atributo na Tabela1.</t>
  </si>
  <si>
    <t xml:space="preserve">5.</t>
  </si>
  <si>
    <t xml:space="preserve">Um atributo nunca existe sem o equipamento pai: crie primeiro o TAG do equipamento.</t>
  </si>
  <si>
    <t xml:space="preserve">6.</t>
  </si>
  <si>
    <t xml:space="preserve">Novas siglas devem ser verificadas contra as já cadastradas antes de serem adicionadas.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</si>
</sst>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1B2631"/>
      <name val="Calibri"/>
      <family val="0"/>
      <charset val="1"/>
    </font>
    <font>
      <sz val="11"/>
      <color rgb="FF5D6D7E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2E6F9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3"/>
      <color rgb="FF2E6F95"/>
      <name val="Consolas"/>
      <family val="0"/>
      <charset val="1"/>
    </font>
    <font>
      <sz val="10"/>
      <color rgb="FFB03A2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F4F6F8"/>
      </patternFill>
    </fill>
    <fill>
      <patternFill patternType="solid">
        <fgColor rgb="FFFFFF00"/>
        <bgColor rgb="FFFFFF00"/>
      </patternFill>
    </fill>
    <fill>
      <patternFill patternType="solid">
        <fgColor rgb="FFF4F6F8"/>
        <bgColor rgb="FFEDEDED"/>
      </patternFill>
    </fill>
    <fill>
      <patternFill patternType="solid">
        <fgColor rgb="FF1B2631"/>
        <bgColor rgb="FF33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6"/>
      </bottom>
      <diagonal/>
    </border>
    <border diagonalUp="false" diagonalDown="false">
      <left style="thin">
        <color theme="6"/>
      </left>
      <right style="thin">
        <color theme="6"/>
      </right>
      <top/>
      <bottom style="medium">
        <color theme="6"/>
      </bottom>
      <diagonal/>
    </border>
    <border diagonalUp="false" diagonalDown="false">
      <left style="thin">
        <color theme="6"/>
      </left>
      <right/>
      <top/>
      <bottom style="medium">
        <color theme="6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>
        <color theme="6"/>
      </left>
      <right/>
      <top style="thin">
        <color theme="6"/>
      </top>
      <bottom style="thin">
        <color theme="6"/>
      </bottom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>
        <color theme="6"/>
      </left>
      <right/>
      <top style="thin">
        <color theme="6"/>
      </top>
      <bottom/>
      <diagonal/>
    </border>
    <border diagonalUp="false" diagonalDown="false"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1E7B45"/>
      </font>
    </dxf>
    <dxf>
      <font>
        <name val="Calibri"/>
        <charset val="1"/>
        <family val="0"/>
        <b val="1"/>
        <color rgb="FFB03A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E7B45"/>
      <rgbColor rgb="FFC0C0C0"/>
      <rgbColor rgb="FF808080"/>
      <rgbColor rgb="FF9999FF"/>
      <rgbColor rgb="FF993366"/>
      <rgbColor rgb="FFF4F6F8"/>
      <rgbColor rgb="FFEDEDED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2E6F9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D6D7E"/>
      <rgbColor rgb="FFA5A5A5"/>
      <rgbColor rgb="FF003366"/>
      <rgbColor rgb="FF339966"/>
      <rgbColor rgb="FF003300"/>
      <rgbColor rgb="FF333300"/>
      <rgbColor rgb="FFB03A2E"/>
      <rgbColor rgb="FF993366"/>
      <rgbColor rgb="FF333399"/>
      <rgbColor rgb="FF1B2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J7:P61" headerRowCount="1" totalsRowCount="0" totalsRowShown="0">
  <autoFilter ref="J7:P61"/>
  <tableColumns count="7">
    <tableColumn id="1" name="Coluna1"/>
    <tableColumn id="2" name="Coluna2"/>
    <tableColumn id="3" name="TIPO"/>
    <tableColumn id="4" name="Coluna4"/>
    <tableColumn id="5" name="FUNÇÃO"/>
    <tableColumn id="6" name="SIGLA"/>
    <tableColumn id="7" name="Descrição"/>
  </tableColumns>
</table>
</file>

<file path=xl/tables/table2.xml><?xml version="1.0" encoding="utf-8"?>
<table xmlns="http://schemas.openxmlformats.org/spreadsheetml/2006/main" id="2" name="Tabela2" displayName="Tabela2" ref="B7:H97" headerRowCount="1" totalsRowCount="0" totalsRowShown="0">
  <autoFilter ref="B7:H97"/>
  <tableColumns count="7">
    <tableColumn id="1" name="Coluna1"/>
    <tableColumn id="2" name="Coluna2"/>
    <tableColumn id="3" name="TIPO"/>
    <tableColumn id="4" name="SIGLA"/>
    <tableColumn id="5" name="BLOCO"/>
    <tableColumn id="6" name="Coluna4"/>
    <tableColumn id="7" name="Coluna5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7" activeCellId="0" sqref="S7"/>
    </sheetView>
  </sheetViews>
  <sheetFormatPr defaultColWidth="8.5390625" defaultRowHeight="14.25" zeroHeight="false" outlineLevelRow="0" outlineLevelCol="0"/>
  <cols>
    <col collapsed="false" customWidth="true" hidden="false" outlineLevel="0" max="3" min="2" style="0" width="3.78"/>
    <col collapsed="false" customWidth="true" hidden="false" outlineLevel="0" max="4" min="4" style="0" width="32.44"/>
    <col collapsed="false" customWidth="true" hidden="false" outlineLevel="0" max="6" min="6" style="0" width="29.11"/>
    <col collapsed="false" customWidth="true" hidden="true" outlineLevel="0" max="8" min="7" style="0" width="9.78"/>
    <col collapsed="false" customWidth="true" hidden="false" outlineLevel="0" max="9" min="9" style="0" width="7.33"/>
    <col collapsed="false" customWidth="true" hidden="false" outlineLevel="0" max="11" min="10" style="0" width="3.78"/>
    <col collapsed="false" customWidth="true" hidden="false" outlineLevel="0" max="12" min="12" style="0" width="33.66"/>
    <col collapsed="false" customWidth="true" hidden="false" outlineLevel="0" max="13" min="13" style="0" width="3.78"/>
    <col collapsed="false" customWidth="true" hidden="false" outlineLevel="0" max="14" min="14" style="0" width="15.22"/>
    <col collapsed="false" customWidth="true" hidden="false" outlineLevel="0" max="15" min="15" style="0" width="8.33"/>
    <col collapsed="false" customWidth="true" hidden="false" outlineLevel="0" max="16" min="16" style="0" width="44"/>
    <col collapsed="false" customWidth="true" hidden="false" outlineLevel="0" max="22" min="22" style="0" width="8.78"/>
    <col collapsed="false" customWidth="true" hidden="false" outlineLevel="0" max="23" min="23" style="0" width="4"/>
    <col collapsed="false" customWidth="true" hidden="false" outlineLevel="0" max="25" min="24" style="0" width="8.78"/>
    <col collapsed="false" customWidth="true" hidden="false" outlineLevel="0" max="26" min="26" style="0" width="15.44"/>
    <col collapsed="false" customWidth="true" hidden="false" outlineLevel="0" max="27" min="27" style="0" width="8.78"/>
    <col collapsed="false" customWidth="true" hidden="false" outlineLevel="0" max="28" min="28" style="0" width="4.22"/>
    <col collapsed="false" customWidth="true" hidden="false" outlineLevel="0" max="29" min="29" style="0" width="8.78"/>
    <col collapsed="false" customWidth="true" hidden="false" outlineLevel="0" max="30" min="30" style="0" width="3.78"/>
    <col collapsed="false" customWidth="true" hidden="false" outlineLevel="0" max="32" min="31" style="0" width="8.78"/>
  </cols>
  <sheetData>
    <row r="1" customFormat="false" ht="14.25" hidden="false" customHeight="false" outlineLevel="0" collapsed="false">
      <c r="L1" s="1"/>
      <c r="M1" s="1"/>
      <c r="N1" s="1"/>
    </row>
    <row r="2" customFormat="false" ht="14.25" hidden="false" customHeight="false" outlineLevel="0" collapsed="false">
      <c r="L2" s="1"/>
      <c r="M2" s="1"/>
      <c r="N2" s="1"/>
    </row>
    <row r="3" customFormat="false" ht="14.25" hidden="false" customHeight="false" outlineLevel="0" collapsed="false">
      <c r="D3" s="2"/>
      <c r="E3" s="3"/>
      <c r="F3" s="3"/>
      <c r="L3" s="2"/>
      <c r="M3" s="2"/>
      <c r="N3" s="2"/>
    </row>
    <row r="4" customFormat="false" ht="14.25" hidden="false" customHeight="false" outlineLevel="0" collapsed="false">
      <c r="D4" s="2"/>
      <c r="E4" s="3"/>
      <c r="F4" s="3"/>
      <c r="L4" s="2"/>
      <c r="M4" s="2"/>
      <c r="N4" s="2"/>
    </row>
    <row r="5" customFormat="false" ht="14.25" hidden="false" customHeight="false" outlineLevel="0" collapsed="false">
      <c r="B5" s="4" t="s">
        <v>0</v>
      </c>
      <c r="C5" s="4"/>
      <c r="D5" s="4"/>
      <c r="E5" s="4"/>
      <c r="F5" s="4"/>
      <c r="G5" s="4"/>
      <c r="H5" s="4"/>
      <c r="J5" s="5" t="s">
        <v>1</v>
      </c>
      <c r="K5" s="5"/>
      <c r="L5" s="5"/>
      <c r="M5" s="5"/>
      <c r="N5" s="5"/>
      <c r="O5" s="5"/>
      <c r="P5" s="5"/>
      <c r="V5" s="5" t="s">
        <v>2</v>
      </c>
      <c r="W5" s="5"/>
      <c r="X5" s="5"/>
      <c r="Y5" s="5"/>
      <c r="AA5" s="5" t="s">
        <v>3</v>
      </c>
      <c r="AB5" s="5"/>
      <c r="AC5" s="5"/>
      <c r="AD5" s="5"/>
      <c r="AE5" s="5"/>
      <c r="AF5" s="5"/>
    </row>
    <row r="6" customFormat="false" ht="14.25" hidden="false" customHeight="false" outlineLevel="0" collapsed="false">
      <c r="B6" s="4"/>
      <c r="C6" s="4"/>
      <c r="D6" s="4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V6" s="5"/>
      <c r="W6" s="5"/>
      <c r="X6" s="5"/>
      <c r="Y6" s="5"/>
      <c r="AA6" s="5"/>
      <c r="AB6" s="5"/>
      <c r="AC6" s="5"/>
      <c r="AD6" s="5"/>
      <c r="AE6" s="5"/>
      <c r="AF6" s="5"/>
    </row>
    <row r="7" customFormat="false" ht="15" hidden="false" customHeight="true" outlineLevel="0" collapsed="false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7" t="s">
        <v>10</v>
      </c>
      <c r="I7" s="8"/>
      <c r="J7" s="9" t="s">
        <v>4</v>
      </c>
      <c r="K7" s="9" t="s">
        <v>5</v>
      </c>
      <c r="L7" s="9" t="s">
        <v>6</v>
      </c>
      <c r="M7" s="9" t="s">
        <v>9</v>
      </c>
      <c r="N7" s="10" t="s">
        <v>11</v>
      </c>
      <c r="O7" s="9" t="s">
        <v>7</v>
      </c>
      <c r="P7" s="11" t="s">
        <v>12</v>
      </c>
      <c r="V7" s="12" t="s">
        <v>7</v>
      </c>
      <c r="W7" s="12"/>
      <c r="X7" s="3" t="s">
        <v>13</v>
      </c>
      <c r="Y7" s="3"/>
      <c r="AA7" s="2" t="s">
        <v>14</v>
      </c>
      <c r="AB7" s="2"/>
      <c r="AC7" s="2" t="s">
        <v>15</v>
      </c>
      <c r="AD7" s="2"/>
      <c r="AE7" s="3" t="s">
        <v>16</v>
      </c>
      <c r="AF7" s="3"/>
    </row>
    <row r="8" customFormat="false" ht="15" hidden="false" customHeight="true" outlineLevel="0" collapsed="false">
      <c r="B8" s="13" t="s">
        <v>17</v>
      </c>
      <c r="C8" s="13" t="s">
        <v>18</v>
      </c>
      <c r="D8" s="14" t="s">
        <v>19</v>
      </c>
      <c r="E8" s="15" t="str">
        <f aca="false">_xlfn.CONCAT(Tabela2[[#This Row],[Coluna1]],Tabela2[[#This Row],[Coluna2]])</f>
        <v>AL</v>
      </c>
      <c r="F8" s="14"/>
      <c r="G8" s="15"/>
      <c r="H8" s="16"/>
      <c r="I8" s="17"/>
      <c r="J8" s="18" t="s">
        <v>20</v>
      </c>
      <c r="K8" s="18" t="s">
        <v>21</v>
      </c>
      <c r="L8" s="9" t="s">
        <v>22</v>
      </c>
      <c r="M8" s="19" t="s">
        <v>17</v>
      </c>
      <c r="N8" s="9" t="s">
        <v>23</v>
      </c>
      <c r="O8" s="20" t="str">
        <f aca="false">CONCATENATE(J8,K8,M8)</f>
        <v>SNA</v>
      </c>
      <c r="P8" s="17" t="str">
        <f aca="false">CONCATENATE(L8," ",N8)</f>
        <v>SENSOR DE NIVEL ALTO</v>
      </c>
      <c r="V8" s="18" t="s">
        <v>24</v>
      </c>
      <c r="W8" s="12"/>
      <c r="X8" s="21" t="s">
        <v>25</v>
      </c>
      <c r="Y8" s="21" t="n">
        <v>1</v>
      </c>
      <c r="Z8" s="2" t="s">
        <v>26</v>
      </c>
      <c r="AA8" s="21" t="s">
        <v>27</v>
      </c>
      <c r="AB8" s="2"/>
      <c r="AC8" s="21" t="n">
        <v>1</v>
      </c>
      <c r="AD8" s="2"/>
      <c r="AE8" s="21" t="s">
        <v>25</v>
      </c>
      <c r="AF8" s="21" t="n">
        <v>1</v>
      </c>
    </row>
    <row r="9" customFormat="false" ht="15" hidden="false" customHeight="true" outlineLevel="0" collapsed="false">
      <c r="B9" s="18" t="s">
        <v>28</v>
      </c>
      <c r="C9" s="18" t="s">
        <v>18</v>
      </c>
      <c r="D9" s="22" t="s">
        <v>29</v>
      </c>
      <c r="E9" s="15" t="str">
        <f aca="false">_xlfn.CONCAT(Tabela2[[#This Row],[Coluna1]],Tabela2[[#This Row],[Coluna2]])</f>
        <v>BL</v>
      </c>
      <c r="F9" s="22"/>
      <c r="G9" s="23"/>
      <c r="H9" s="24"/>
      <c r="I9" s="17"/>
      <c r="J9" s="18" t="s">
        <v>20</v>
      </c>
      <c r="K9" s="18" t="s">
        <v>21</v>
      </c>
      <c r="L9" s="9" t="s">
        <v>22</v>
      </c>
      <c r="M9" s="25" t="s">
        <v>30</v>
      </c>
      <c r="N9" s="9" t="s">
        <v>31</v>
      </c>
      <c r="O9" s="20" t="str">
        <f aca="false">CONCATENATE(J9,K9,M9)</f>
        <v>SNM</v>
      </c>
      <c r="P9" s="17" t="str">
        <f aca="false">CONCATENATE(L9," ",N9)</f>
        <v>SENSOR DE NIVEL MÉDIO</v>
      </c>
    </row>
    <row r="10" customFormat="false" ht="15" hidden="false" customHeight="true" outlineLevel="0" collapsed="false">
      <c r="B10" s="13" t="s">
        <v>28</v>
      </c>
      <c r="C10" s="13" t="s">
        <v>28</v>
      </c>
      <c r="D10" s="14" t="s">
        <v>32</v>
      </c>
      <c r="E10" s="15" t="str">
        <f aca="false">_xlfn.CONCAT(Tabela2[[#This Row],[Coluna1]],Tabela2[[#This Row],[Coluna2]])</f>
        <v>BB</v>
      </c>
      <c r="F10" s="14"/>
      <c r="G10" s="26"/>
      <c r="H10" s="16"/>
      <c r="I10" s="17"/>
      <c r="J10" s="18" t="s">
        <v>20</v>
      </c>
      <c r="K10" s="18" t="s">
        <v>21</v>
      </c>
      <c r="L10" s="9" t="s">
        <v>22</v>
      </c>
      <c r="M10" s="19" t="s">
        <v>28</v>
      </c>
      <c r="N10" s="9" t="s">
        <v>33</v>
      </c>
      <c r="O10" s="20" t="str">
        <f aca="false">CONCATENATE(J10,K10,M10)</f>
        <v>SNB</v>
      </c>
      <c r="P10" s="17" t="str">
        <f aca="false">CONCATENATE(L10," ",N10)</f>
        <v>SENSOR DE NIVEL BAIXO</v>
      </c>
      <c r="AA10" s="9" t="s">
        <v>34</v>
      </c>
    </row>
    <row r="11" customFormat="false" ht="15" hidden="false" customHeight="true" outlineLevel="0" collapsed="false">
      <c r="B11" s="18" t="s">
        <v>28</v>
      </c>
      <c r="C11" s="18" t="s">
        <v>35</v>
      </c>
      <c r="D11" s="22" t="s">
        <v>36</v>
      </c>
      <c r="E11" s="15" t="str">
        <f aca="false">_xlfn.CONCAT(Tabela2[[#This Row],[Coluna1]],Tabela2[[#This Row],[Coluna2]])</f>
        <v>BT</v>
      </c>
      <c r="F11" s="22"/>
      <c r="G11" s="23"/>
      <c r="H11" s="24"/>
      <c r="I11" s="17"/>
      <c r="J11" s="18" t="s">
        <v>20</v>
      </c>
      <c r="K11" s="18" t="s">
        <v>37</v>
      </c>
      <c r="L11" s="9" t="s">
        <v>38</v>
      </c>
      <c r="M11" s="25" t="s">
        <v>17</v>
      </c>
      <c r="N11" s="9" t="s">
        <v>39</v>
      </c>
      <c r="O11" s="20" t="str">
        <f aca="false">CONCATENATE(J11,K11,M11)</f>
        <v>SPA</v>
      </c>
      <c r="P11" s="17" t="str">
        <f aca="false">CONCATENATE(L11," ",N11)</f>
        <v>SENSOR DE POSIÇÃO ABERTO</v>
      </c>
      <c r="AA11" s="9" t="s">
        <v>40</v>
      </c>
    </row>
    <row r="12" customFormat="false" ht="15" hidden="false" customHeight="true" outlineLevel="0" collapsed="false">
      <c r="B12" s="13" t="s">
        <v>41</v>
      </c>
      <c r="C12" s="13" t="s">
        <v>42</v>
      </c>
      <c r="D12" s="14" t="s">
        <v>43</v>
      </c>
      <c r="E12" s="15" t="str">
        <f aca="false">_xlfn.CONCAT(Tabela2[[#This Row],[Coluna1]],Tabela2[[#This Row],[Coluna2]])</f>
        <v>CV</v>
      </c>
      <c r="F12" s="14"/>
      <c r="G12" s="26"/>
      <c r="H12" s="16"/>
      <c r="I12" s="17"/>
      <c r="J12" s="18" t="s">
        <v>20</v>
      </c>
      <c r="K12" s="18" t="s">
        <v>37</v>
      </c>
      <c r="L12" s="9" t="s">
        <v>38</v>
      </c>
      <c r="M12" s="19" t="s">
        <v>44</v>
      </c>
      <c r="N12" s="9" t="s">
        <v>45</v>
      </c>
      <c r="O12" s="20" t="str">
        <f aca="false">CONCATENATE(J12,K12,M12)</f>
        <v>SPF</v>
      </c>
      <c r="P12" s="17" t="str">
        <f aca="false">CONCATENATE(L12," ",N12)</f>
        <v>SENSOR DE POSIÇÃO FECHADO</v>
      </c>
      <c r="R12" s="1"/>
      <c r="AA12" s="9" t="s">
        <v>46</v>
      </c>
    </row>
    <row r="13" customFormat="false" ht="15" hidden="false" customHeight="true" outlineLevel="0" collapsed="false">
      <c r="B13" s="18" t="s">
        <v>41</v>
      </c>
      <c r="C13" s="18" t="s">
        <v>47</v>
      </c>
      <c r="D13" s="22" t="s">
        <v>48</v>
      </c>
      <c r="E13" s="15" t="str">
        <f aca="false">_xlfn.CONCAT(Tabela2[[#This Row],[Coluna1]],Tabela2[[#This Row],[Coluna2]])</f>
        <v>CD</v>
      </c>
      <c r="F13" s="22"/>
      <c r="G13" s="26"/>
      <c r="H13" s="16"/>
      <c r="J13" s="18" t="s">
        <v>20</v>
      </c>
      <c r="K13" s="18" t="s">
        <v>37</v>
      </c>
      <c r="L13" s="9" t="s">
        <v>38</v>
      </c>
      <c r="M13" s="25" t="s">
        <v>20</v>
      </c>
      <c r="N13" s="9" t="s">
        <v>49</v>
      </c>
      <c r="O13" s="20" t="str">
        <f aca="false">CONCATENATE(J13,K13,M13)</f>
        <v>SPS</v>
      </c>
      <c r="P13" s="17" t="str">
        <f aca="false">CONCATENATE(L13," ",N13)</f>
        <v>SENSOR DE POSIÇÃO SUPERIOR</v>
      </c>
      <c r="R13" s="1"/>
      <c r="AA13" s="9" t="s">
        <v>50</v>
      </c>
    </row>
    <row r="14" customFormat="false" ht="15" hidden="false" customHeight="true" outlineLevel="0" collapsed="false">
      <c r="B14" s="13" t="s">
        <v>51</v>
      </c>
      <c r="C14" s="13" t="s">
        <v>18</v>
      </c>
      <c r="D14" s="14" t="s">
        <v>52</v>
      </c>
      <c r="E14" s="15" t="str">
        <f aca="false">_xlfn.CONCAT(Tabela2[[#This Row],[Coluna1]],Tabela2[[#This Row],[Coluna2]])</f>
        <v>EL</v>
      </c>
      <c r="F14" s="14"/>
      <c r="G14" s="26"/>
      <c r="H14" s="16"/>
      <c r="J14" s="18" t="s">
        <v>20</v>
      </c>
      <c r="K14" s="18" t="s">
        <v>37</v>
      </c>
      <c r="L14" s="9" t="s">
        <v>38</v>
      </c>
      <c r="M14" s="19" t="s">
        <v>53</v>
      </c>
      <c r="N14" s="9" t="s">
        <v>54</v>
      </c>
      <c r="O14" s="20" t="str">
        <f aca="false">CONCATENATE(J14,K14,M14)</f>
        <v>SPI</v>
      </c>
      <c r="P14" s="17" t="str">
        <f aca="false">CONCATENATE(L14," ",N14)</f>
        <v>SENSOR DE POSIÇÃO INFERIROR</v>
      </c>
      <c r="R14" s="1"/>
      <c r="AA14" s="9" t="s">
        <v>55</v>
      </c>
    </row>
    <row r="15" customFormat="false" ht="15" hidden="false" customHeight="true" outlineLevel="0" collapsed="false">
      <c r="B15" s="18" t="s">
        <v>51</v>
      </c>
      <c r="C15" s="18" t="s">
        <v>20</v>
      </c>
      <c r="D15" s="22" t="s">
        <v>56</v>
      </c>
      <c r="E15" s="15" t="str">
        <f aca="false">_xlfn.CONCAT(Tabela2[[#This Row],[Coluna1]],Tabela2[[#This Row],[Coluna2]])</f>
        <v>ES</v>
      </c>
      <c r="F15" s="22"/>
      <c r="G15" s="26"/>
      <c r="H15" s="16"/>
      <c r="J15" s="18" t="s">
        <v>20</v>
      </c>
      <c r="K15" s="18" t="s">
        <v>37</v>
      </c>
      <c r="L15" s="9" t="s">
        <v>38</v>
      </c>
      <c r="M15" s="25" t="s">
        <v>47</v>
      </c>
      <c r="N15" s="9" t="s">
        <v>57</v>
      </c>
      <c r="O15" s="20" t="str">
        <f aca="false">CONCATENATE(J15,K15,M15)</f>
        <v>SPD</v>
      </c>
      <c r="P15" s="17" t="str">
        <f aca="false">CONCATENATE(L15," ",N15)</f>
        <v>SENSOR DE POSIÇÃO DIANTEIRO</v>
      </c>
      <c r="R15" s="1"/>
    </row>
    <row r="16" customFormat="false" ht="15" hidden="false" customHeight="true" outlineLevel="0" collapsed="false">
      <c r="B16" s="13" t="s">
        <v>51</v>
      </c>
      <c r="C16" s="13" t="s">
        <v>58</v>
      </c>
      <c r="D16" s="14" t="s">
        <v>59</v>
      </c>
      <c r="E16" s="15" t="str">
        <f aca="false">_xlfn.CONCAT(Tabela2[[#This Row],[Coluna1]],Tabela2[[#This Row],[Coluna2]])</f>
        <v>EX</v>
      </c>
      <c r="F16" s="14"/>
      <c r="G16" s="26"/>
      <c r="H16" s="16"/>
      <c r="J16" s="18" t="s">
        <v>20</v>
      </c>
      <c r="K16" s="18" t="s">
        <v>37</v>
      </c>
      <c r="L16" s="9" t="s">
        <v>38</v>
      </c>
      <c r="M16" s="19" t="s">
        <v>35</v>
      </c>
      <c r="N16" s="9" t="s">
        <v>60</v>
      </c>
      <c r="O16" s="20" t="str">
        <f aca="false">CONCATENATE(J16,K16,M16)</f>
        <v>SPT</v>
      </c>
      <c r="P16" s="17" t="str">
        <f aca="false">CONCATENATE(L16," ",N16)</f>
        <v>SENSOR DE POSIÇÃO TRASEIRO</v>
      </c>
      <c r="R16" s="1"/>
    </row>
    <row r="17" customFormat="false" ht="15" hidden="false" customHeight="true" outlineLevel="0" collapsed="false">
      <c r="B17" s="18" t="s">
        <v>51</v>
      </c>
      <c r="C17" s="18" t="s">
        <v>35</v>
      </c>
      <c r="D17" s="22" t="s">
        <v>61</v>
      </c>
      <c r="E17" s="15" t="str">
        <f aca="false">_xlfn.CONCAT(Tabela2[[#This Row],[Coluna1]],Tabela2[[#This Row],[Coluna2]])</f>
        <v>ET</v>
      </c>
      <c r="F17" s="22"/>
      <c r="G17" s="26"/>
      <c r="H17" s="16"/>
      <c r="J17" s="18" t="s">
        <v>51</v>
      </c>
      <c r="K17" s="18" t="s">
        <v>42</v>
      </c>
      <c r="L17" s="9" t="s">
        <v>62</v>
      </c>
      <c r="M17" s="25" t="s">
        <v>17</v>
      </c>
      <c r="N17" s="9" t="s">
        <v>63</v>
      </c>
      <c r="O17" s="20" t="str">
        <f aca="false">CONCATENATE(J17,K17,M17)</f>
        <v>EVA</v>
      </c>
      <c r="P17" s="17" t="str">
        <f aca="false">CONCATENATE(L17," ",N17)</f>
        <v>ELETRO VÁLVULA ABRE</v>
      </c>
      <c r="R17" s="1"/>
    </row>
    <row r="18" customFormat="false" ht="15" hidden="false" customHeight="true" outlineLevel="0" collapsed="false">
      <c r="B18" s="13" t="s">
        <v>44</v>
      </c>
      <c r="C18" s="13" t="s">
        <v>35</v>
      </c>
      <c r="D18" s="14" t="s">
        <v>64</v>
      </c>
      <c r="E18" s="15" t="str">
        <f aca="false">_xlfn.CONCAT(Tabela2[[#This Row],[Coluna1]],Tabela2[[#This Row],[Coluna2]])</f>
        <v>FT</v>
      </c>
      <c r="F18" s="14"/>
      <c r="G18" s="26"/>
      <c r="H18" s="16"/>
      <c r="J18" s="18" t="s">
        <v>51</v>
      </c>
      <c r="K18" s="18" t="s">
        <v>42</v>
      </c>
      <c r="L18" s="9" t="s">
        <v>62</v>
      </c>
      <c r="M18" s="19" t="s">
        <v>44</v>
      </c>
      <c r="N18" s="9" t="s">
        <v>65</v>
      </c>
      <c r="O18" s="20" t="str">
        <f aca="false">CONCATENATE(J18,K18,M18)</f>
        <v>EVF</v>
      </c>
      <c r="P18" s="17" t="str">
        <f aca="false">CONCATENATE(L18," ",N18)</f>
        <v>ELETRO VÁLVULA FECHA</v>
      </c>
      <c r="R18" s="1"/>
    </row>
    <row r="19" customFormat="false" ht="15" hidden="false" customHeight="true" outlineLevel="0" collapsed="false">
      <c r="B19" s="18" t="s">
        <v>30</v>
      </c>
      <c r="C19" s="18" t="s">
        <v>35</v>
      </c>
      <c r="D19" s="22" t="s">
        <v>66</v>
      </c>
      <c r="E19" s="15" t="str">
        <f aca="false">_xlfn.CONCAT(Tabela2[[#This Row],[Coluna1]],Tabela2[[#This Row],[Coluna2]])</f>
        <v>MT</v>
      </c>
      <c r="F19" s="22"/>
      <c r="G19" s="26"/>
      <c r="H19" s="16"/>
      <c r="J19" s="18" t="s">
        <v>35</v>
      </c>
      <c r="K19" s="18" t="s">
        <v>20</v>
      </c>
      <c r="L19" s="9" t="s">
        <v>67</v>
      </c>
      <c r="M19" s="25" t="s">
        <v>44</v>
      </c>
      <c r="N19" s="9" t="s">
        <v>68</v>
      </c>
      <c r="O19" s="20" t="str">
        <f aca="false">CONCATENATE(J19,K19,M19)</f>
        <v>TSF</v>
      </c>
      <c r="P19" s="17" t="str">
        <f aca="false">CONCATENATE(L19," ",N19)</f>
        <v>TRAVA SEGURANÇA FECHADA</v>
      </c>
      <c r="R19" s="1"/>
    </row>
    <row r="20" customFormat="false" ht="15" hidden="false" customHeight="true" outlineLevel="0" collapsed="false">
      <c r="B20" s="13" t="s">
        <v>30</v>
      </c>
      <c r="C20" s="13" t="s">
        <v>69</v>
      </c>
      <c r="D20" s="14" t="s">
        <v>70</v>
      </c>
      <c r="E20" s="15" t="str">
        <f aca="false">_xlfn.CONCAT(Tabela2[[#This Row],[Coluna1]],Tabela2[[#This Row],[Coluna2]])</f>
        <v>MG</v>
      </c>
      <c r="F20" s="14"/>
      <c r="G20" s="26"/>
      <c r="H20" s="16"/>
      <c r="J20" s="18" t="s">
        <v>35</v>
      </c>
      <c r="K20" s="18" t="s">
        <v>42</v>
      </c>
      <c r="L20" s="9" t="s">
        <v>71</v>
      </c>
      <c r="M20" s="19" t="s">
        <v>44</v>
      </c>
      <c r="N20" s="9" t="s">
        <v>68</v>
      </c>
      <c r="O20" s="20" t="str">
        <f aca="false">CONCATENATE(J20,K20,M20)</f>
        <v>TVF</v>
      </c>
      <c r="P20" s="17" t="str">
        <f aca="false">CONCATENATE(L20," ",N20)</f>
        <v>TRAVA  FECHADA</v>
      </c>
      <c r="R20" s="1"/>
    </row>
    <row r="21" customFormat="false" ht="15" hidden="false" customHeight="true" outlineLevel="0" collapsed="false">
      <c r="B21" s="18" t="s">
        <v>30</v>
      </c>
      <c r="C21" s="18" t="s">
        <v>72</v>
      </c>
      <c r="D21" s="22" t="s">
        <v>73</v>
      </c>
      <c r="E21" s="15" t="str">
        <f aca="false">_xlfn.CONCAT(Tabela2[[#This Row],[Coluna1]],Tabela2[[#This Row],[Coluna2]])</f>
        <v>MO</v>
      </c>
      <c r="F21" s="22"/>
      <c r="G21" s="26"/>
      <c r="H21" s="16"/>
      <c r="J21" s="18" t="s">
        <v>28</v>
      </c>
      <c r="K21" s="18" t="s">
        <v>35</v>
      </c>
      <c r="L21" s="9" t="s">
        <v>74</v>
      </c>
      <c r="M21" s="25" t="s">
        <v>51</v>
      </c>
      <c r="N21" s="9" t="s">
        <v>75</v>
      </c>
      <c r="O21" s="20" t="str">
        <f aca="false">CONCATENATE(J21,K21,M21)</f>
        <v>BTE</v>
      </c>
      <c r="P21" s="17" t="str">
        <f aca="false">CONCATENATE(L21," ",N21)</f>
        <v>BOTÃO EMERGENCIA</v>
      </c>
      <c r="R21" s="1"/>
    </row>
    <row r="22" customFormat="false" ht="15" hidden="false" customHeight="true" outlineLevel="0" collapsed="false">
      <c r="B22" s="13" t="s">
        <v>37</v>
      </c>
      <c r="C22" s="13" t="s">
        <v>21</v>
      </c>
      <c r="D22" s="14" t="s">
        <v>76</v>
      </c>
      <c r="E22" s="15" t="str">
        <f aca="false">_xlfn.CONCAT(Tabela2[[#This Row],[Coluna1]],Tabela2[[#This Row],[Coluna2]])</f>
        <v>PN</v>
      </c>
      <c r="F22" s="14"/>
      <c r="G22" s="26"/>
      <c r="H22" s="16"/>
      <c r="J22" s="18" t="s">
        <v>28</v>
      </c>
      <c r="K22" s="18" t="s">
        <v>35</v>
      </c>
      <c r="L22" s="9" t="s">
        <v>74</v>
      </c>
      <c r="M22" s="19" t="s">
        <v>27</v>
      </c>
      <c r="N22" s="9" t="s">
        <v>77</v>
      </c>
      <c r="O22" s="20" t="str">
        <f aca="false">CONCATENATE(J22,K22,M22)</f>
        <v>BTR</v>
      </c>
      <c r="P22" s="17" t="str">
        <f aca="false">CONCATENATE(L22," ",N22)</f>
        <v>BOTÃO RESET</v>
      </c>
      <c r="R22" s="1"/>
    </row>
    <row r="23" customFormat="false" ht="15" hidden="false" customHeight="true" outlineLevel="0" collapsed="false">
      <c r="B23" s="18" t="s">
        <v>37</v>
      </c>
      <c r="C23" s="18" t="s">
        <v>20</v>
      </c>
      <c r="D23" s="22" t="s">
        <v>78</v>
      </c>
      <c r="E23" s="15" t="str">
        <f aca="false">_xlfn.CONCAT(Tabela2[[#This Row],[Coluna1]],Tabela2[[#This Row],[Coluna2]])</f>
        <v>PS</v>
      </c>
      <c r="F23" s="22"/>
      <c r="G23" s="26"/>
      <c r="H23" s="16"/>
      <c r="J23" s="18" t="s">
        <v>28</v>
      </c>
      <c r="K23" s="18" t="s">
        <v>35</v>
      </c>
      <c r="L23" s="9" t="s">
        <v>74</v>
      </c>
      <c r="M23" s="25" t="s">
        <v>18</v>
      </c>
      <c r="N23" s="9" t="s">
        <v>79</v>
      </c>
      <c r="O23" s="20" t="str">
        <f aca="false">CONCATENATE(J23,K23,M23)</f>
        <v>BTL</v>
      </c>
      <c r="P23" s="17" t="str">
        <f aca="false">CONCATENATE(L23," ",N23)</f>
        <v>BOTÃO LIGA</v>
      </c>
      <c r="R23" s="1"/>
      <c r="V23" s="27" t="s">
        <v>80</v>
      </c>
      <c r="W23" s="27"/>
      <c r="X23" s="27"/>
      <c r="Y23" s="27"/>
    </row>
    <row r="24" customFormat="false" ht="15" hidden="false" customHeight="true" outlineLevel="0" collapsed="false">
      <c r="B24" s="13" t="s">
        <v>81</v>
      </c>
      <c r="C24" s="13" t="s">
        <v>69</v>
      </c>
      <c r="D24" s="14" t="s">
        <v>82</v>
      </c>
      <c r="E24" s="15" t="str">
        <f aca="false">_xlfn.CONCAT(Tabela2[[#This Row],[Coluna1]],Tabela2[[#This Row],[Coluna2]])</f>
        <v>QG</v>
      </c>
      <c r="F24" s="14"/>
      <c r="G24" s="26"/>
      <c r="H24" s="16"/>
      <c r="J24" s="18" t="s">
        <v>28</v>
      </c>
      <c r="K24" s="18" t="s">
        <v>35</v>
      </c>
      <c r="L24" s="9" t="s">
        <v>74</v>
      </c>
      <c r="M24" s="19" t="s">
        <v>47</v>
      </c>
      <c r="N24" s="9" t="s">
        <v>83</v>
      </c>
      <c r="O24" s="20" t="str">
        <f aca="false">CONCATENATE(J24,K24,M24)</f>
        <v>BTD</v>
      </c>
      <c r="P24" s="17" t="str">
        <f aca="false">CONCATENATE(L24," ",N24)</f>
        <v>BOTÃO DESLIGA</v>
      </c>
      <c r="V24" s="27" t="s">
        <v>84</v>
      </c>
      <c r="W24" s="27"/>
      <c r="X24" s="27"/>
      <c r="Y24" s="27"/>
    </row>
    <row r="25" customFormat="false" ht="15" hidden="false" customHeight="true" outlineLevel="0" collapsed="false">
      <c r="B25" s="18" t="s">
        <v>81</v>
      </c>
      <c r="C25" s="18" t="s">
        <v>30</v>
      </c>
      <c r="D25" s="22" t="s">
        <v>85</v>
      </c>
      <c r="E25" s="15" t="str">
        <f aca="false">_xlfn.CONCAT(Tabela2[[#This Row],[Coluna1]],Tabela2[[#This Row],[Coluna2]])</f>
        <v>QM</v>
      </c>
      <c r="F25" s="22"/>
      <c r="G25" s="26"/>
      <c r="H25" s="16"/>
      <c r="J25" s="18" t="s">
        <v>28</v>
      </c>
      <c r="K25" s="18" t="s">
        <v>35</v>
      </c>
      <c r="L25" s="9" t="s">
        <v>74</v>
      </c>
      <c r="M25" s="25" t="s">
        <v>17</v>
      </c>
      <c r="N25" s="9" t="s">
        <v>63</v>
      </c>
      <c r="O25" s="20" t="str">
        <f aca="false">CONCATENATE(J25,K25,M25)</f>
        <v>BTA</v>
      </c>
      <c r="P25" s="17" t="str">
        <f aca="false">CONCATENATE(L25," ",N25)</f>
        <v>BOTÃO ABRE</v>
      </c>
      <c r="V25" s="28" t="s">
        <v>86</v>
      </c>
      <c r="W25" s="28"/>
      <c r="X25" s="28"/>
      <c r="Y25" s="28"/>
      <c r="Z25" s="29" t="s">
        <v>87</v>
      </c>
      <c r="AA25" s="29"/>
      <c r="AB25" s="2"/>
    </row>
    <row r="26" customFormat="false" ht="15" hidden="false" customHeight="true" outlineLevel="0" collapsed="false">
      <c r="B26" s="13" t="s">
        <v>27</v>
      </c>
      <c r="C26" s="13" t="s">
        <v>41</v>
      </c>
      <c r="D26" s="14" t="s">
        <v>88</v>
      </c>
      <c r="E26" s="15" t="str">
        <f aca="false">_xlfn.CONCAT(Tabela2[[#This Row],[Coluna1]],Tabela2[[#This Row],[Coluna2]])</f>
        <v>RC</v>
      </c>
      <c r="F26" s="14"/>
      <c r="G26" s="26"/>
      <c r="H26" s="16"/>
      <c r="J26" s="18" t="s">
        <v>28</v>
      </c>
      <c r="K26" s="18" t="s">
        <v>35</v>
      </c>
      <c r="L26" s="9" t="s">
        <v>74</v>
      </c>
      <c r="M26" s="19" t="s">
        <v>44</v>
      </c>
      <c r="N26" s="9" t="s">
        <v>65</v>
      </c>
      <c r="O26" s="20" t="str">
        <f aca="false">CONCATENATE(J26,K26,M26)</f>
        <v>BTF</v>
      </c>
      <c r="P26" s="17" t="str">
        <f aca="false">CONCATENATE(L26," ",N26)</f>
        <v>BOTÃO FECHA</v>
      </c>
      <c r="V26" s="28"/>
      <c r="W26" s="28"/>
      <c r="X26" s="28"/>
      <c r="Y26" s="28"/>
      <c r="Z26" s="30" t="s">
        <v>89</v>
      </c>
      <c r="AA26" s="30"/>
      <c r="AB26" s="2"/>
    </row>
    <row r="27" customFormat="false" ht="15" hidden="false" customHeight="true" outlineLevel="0" collapsed="false">
      <c r="B27" s="18" t="s">
        <v>27</v>
      </c>
      <c r="C27" s="18" t="s">
        <v>44</v>
      </c>
      <c r="D27" s="22" t="s">
        <v>90</v>
      </c>
      <c r="E27" s="15" t="str">
        <f aca="false">_xlfn.CONCAT(Tabela2[[#This Row],[Coluna1]],Tabela2[[#This Row],[Coluna2]])</f>
        <v>RF</v>
      </c>
      <c r="F27" s="22"/>
      <c r="G27" s="26"/>
      <c r="H27" s="16"/>
      <c r="J27" s="18" t="s">
        <v>28</v>
      </c>
      <c r="K27" s="18" t="s">
        <v>35</v>
      </c>
      <c r="L27" s="9" t="s">
        <v>74</v>
      </c>
      <c r="M27" s="25" t="s">
        <v>30</v>
      </c>
      <c r="N27" s="9" t="s">
        <v>91</v>
      </c>
      <c r="O27" s="20" t="str">
        <f aca="false">CONCATENATE(J27,K27,M27)</f>
        <v>BTM</v>
      </c>
      <c r="P27" s="17" t="str">
        <f aca="false">CONCATENATE(L27," ",N27)</f>
        <v>BOTÃO MANUAL</v>
      </c>
      <c r="V27" s="28"/>
      <c r="W27" s="28"/>
      <c r="X27" s="28"/>
      <c r="Y27" s="28"/>
      <c r="Z27" s="30" t="s">
        <v>92</v>
      </c>
      <c r="AA27" s="30"/>
      <c r="AB27" s="2"/>
    </row>
    <row r="28" customFormat="false" ht="15" hidden="false" customHeight="true" outlineLevel="0" collapsed="false">
      <c r="B28" s="13" t="s">
        <v>27</v>
      </c>
      <c r="C28" s="13" t="s">
        <v>20</v>
      </c>
      <c r="D28" s="14" t="s">
        <v>93</v>
      </c>
      <c r="E28" s="15" t="str">
        <f aca="false">_xlfn.CONCAT(Tabela2[[#This Row],[Coluna1]],Tabela2[[#This Row],[Coluna2]])</f>
        <v>RS</v>
      </c>
      <c r="F28" s="14"/>
      <c r="G28" s="26"/>
      <c r="H28" s="16"/>
      <c r="J28" s="18" t="s">
        <v>28</v>
      </c>
      <c r="K28" s="18" t="s">
        <v>35</v>
      </c>
      <c r="L28" s="9" t="s">
        <v>74</v>
      </c>
      <c r="M28" s="19" t="s">
        <v>94</v>
      </c>
      <c r="N28" s="9" t="s">
        <v>95</v>
      </c>
      <c r="O28" s="20" t="str">
        <f aca="false">CONCATENATE(J28,K28,M28)</f>
        <v>BTU</v>
      </c>
      <c r="P28" s="17" t="str">
        <f aca="false">CONCATENATE(L28," ",N28)</f>
        <v>BOTÃO AUTOMÁTICO</v>
      </c>
      <c r="V28" s="28"/>
      <c r="W28" s="28"/>
      <c r="X28" s="28"/>
      <c r="Y28" s="28"/>
      <c r="Z28" s="31" t="s">
        <v>96</v>
      </c>
      <c r="AA28" s="31"/>
      <c r="AB28" s="2"/>
    </row>
    <row r="29" customFormat="false" ht="15" hidden="false" customHeight="true" outlineLevel="0" collapsed="false">
      <c r="B29" s="18" t="s">
        <v>27</v>
      </c>
      <c r="C29" s="18" t="s">
        <v>72</v>
      </c>
      <c r="D29" s="22" t="s">
        <v>97</v>
      </c>
      <c r="E29" s="15" t="str">
        <f aca="false">_xlfn.CONCAT(Tabela2[[#This Row],[Coluna1]],Tabela2[[#This Row],[Coluna2]])</f>
        <v>RO</v>
      </c>
      <c r="F29" s="22"/>
      <c r="G29" s="26"/>
      <c r="H29" s="16"/>
      <c r="J29" s="18" t="s">
        <v>30</v>
      </c>
      <c r="K29" s="18" t="s">
        <v>35</v>
      </c>
      <c r="L29" s="9" t="s">
        <v>98</v>
      </c>
      <c r="M29" s="25" t="s">
        <v>51</v>
      </c>
      <c r="N29" s="9" t="s">
        <v>99</v>
      </c>
      <c r="O29" s="20" t="str">
        <f aca="false">CONCATENATE(J29,K29,M29)</f>
        <v>MTE</v>
      </c>
      <c r="P29" s="17" t="str">
        <f aca="false">CONCATENATE(L29," ",N29)</f>
        <v>MOTOR ELÉTRICO</v>
      </c>
      <c r="V29" s="28" t="s">
        <v>100</v>
      </c>
      <c r="W29" s="28"/>
      <c r="X29" s="28"/>
      <c r="Y29" s="28"/>
      <c r="Z29" s="29" t="s">
        <v>101</v>
      </c>
      <c r="AA29" s="29"/>
      <c r="AB29" s="2"/>
    </row>
    <row r="30" customFormat="false" ht="15" hidden="false" customHeight="true" outlineLevel="0" collapsed="false">
      <c r="B30" s="13" t="s">
        <v>20</v>
      </c>
      <c r="C30" s="13" t="s">
        <v>41</v>
      </c>
      <c r="D30" s="14" t="s">
        <v>102</v>
      </c>
      <c r="E30" s="15" t="str">
        <f aca="false">_xlfn.CONCAT(Tabela2[[#This Row],[Coluna1]],Tabela2[[#This Row],[Coluna2]])</f>
        <v>SC</v>
      </c>
      <c r="F30" s="14"/>
      <c r="G30" s="26"/>
      <c r="H30" s="16"/>
      <c r="J30" s="18" t="s">
        <v>17</v>
      </c>
      <c r="K30" s="18" t="s">
        <v>18</v>
      </c>
      <c r="L30" s="9" t="s">
        <v>103</v>
      </c>
      <c r="M30" s="19" t="s">
        <v>37</v>
      </c>
      <c r="N30" s="9" t="s">
        <v>104</v>
      </c>
      <c r="O30" s="20" t="str">
        <f aca="false">CONCATENATE(J30,K30,M30)</f>
        <v>ALP</v>
      </c>
      <c r="P30" s="17" t="str">
        <f aca="false">CONCATENATE(L30," ",N30)</f>
        <v>ALIMENTAÇÃO POTÊNCIA</v>
      </c>
      <c r="V30" s="28"/>
      <c r="W30" s="28"/>
      <c r="X30" s="28"/>
      <c r="Y30" s="28"/>
      <c r="Z30" s="30" t="s">
        <v>105</v>
      </c>
      <c r="AA30" s="30"/>
      <c r="AB30" s="2"/>
    </row>
    <row r="31" customFormat="false" ht="15" hidden="false" customHeight="true" outlineLevel="0" collapsed="false">
      <c r="B31" s="18" t="s">
        <v>20</v>
      </c>
      <c r="C31" s="18" t="s">
        <v>69</v>
      </c>
      <c r="D31" s="22" t="s">
        <v>106</v>
      </c>
      <c r="E31" s="15" t="str">
        <f aca="false">_xlfn.CONCAT(Tabela2[[#This Row],[Coluna1]],Tabela2[[#This Row],[Coluna2]])</f>
        <v>SG</v>
      </c>
      <c r="F31" s="22"/>
      <c r="G31" s="26"/>
      <c r="H31" s="16"/>
      <c r="J31" s="18" t="s">
        <v>41</v>
      </c>
      <c r="K31" s="18" t="s">
        <v>18</v>
      </c>
      <c r="L31" s="9" t="s">
        <v>107</v>
      </c>
      <c r="M31" s="25" t="s">
        <v>18</v>
      </c>
      <c r="N31" s="9" t="s">
        <v>108</v>
      </c>
      <c r="O31" s="20" t="str">
        <f aca="false">CONCATENATE(J31,K31,M31)</f>
        <v>CLL</v>
      </c>
      <c r="P31" s="17" t="str">
        <f aca="false">CONCATENATE(L31," ",N31)</f>
        <v>CHAVE LOTO LIGADA</v>
      </c>
      <c r="V31" s="28"/>
      <c r="W31" s="28"/>
      <c r="X31" s="28"/>
      <c r="Y31" s="28"/>
      <c r="Z31" s="30" t="s">
        <v>109</v>
      </c>
      <c r="AA31" s="30"/>
      <c r="AB31" s="2"/>
    </row>
    <row r="32" customFormat="false" ht="15" hidden="false" customHeight="true" outlineLevel="0" collapsed="false">
      <c r="B32" s="13" t="s">
        <v>20</v>
      </c>
      <c r="C32" s="13" t="s">
        <v>18</v>
      </c>
      <c r="D32" s="14" t="s">
        <v>110</v>
      </c>
      <c r="E32" s="15" t="str">
        <f aca="false">_xlfn.CONCAT(Tabela2[[#This Row],[Coluna1]],Tabela2[[#This Row],[Coluna2]])</f>
        <v>SL</v>
      </c>
      <c r="F32" s="14"/>
      <c r="G32" s="26"/>
      <c r="H32" s="16"/>
      <c r="J32" s="18" t="s">
        <v>20</v>
      </c>
      <c r="K32" s="18" t="s">
        <v>20</v>
      </c>
      <c r="L32" s="9" t="s">
        <v>111</v>
      </c>
      <c r="M32" s="19" t="s">
        <v>44</v>
      </c>
      <c r="N32" s="9" t="s">
        <v>45</v>
      </c>
      <c r="O32" s="20" t="str">
        <f aca="false">CONCATENATE(J32,K32,M32)</f>
        <v>SSF</v>
      </c>
      <c r="P32" s="17" t="str">
        <f aca="false">CONCATENATE(L32," ",N32)</f>
        <v>SENSOR DE SEGURANÇA FECHADO</v>
      </c>
      <c r="V32" s="28"/>
      <c r="W32" s="28"/>
      <c r="X32" s="28"/>
      <c r="Y32" s="28"/>
      <c r="Z32" s="31" t="s">
        <v>112</v>
      </c>
      <c r="AA32" s="31"/>
      <c r="AB32" s="2"/>
    </row>
    <row r="33" customFormat="false" ht="15" hidden="false" customHeight="true" outlineLevel="0" collapsed="false">
      <c r="B33" s="18" t="s">
        <v>20</v>
      </c>
      <c r="C33" s="18" t="s">
        <v>72</v>
      </c>
      <c r="D33" s="22" t="s">
        <v>113</v>
      </c>
      <c r="E33" s="15" t="str">
        <f aca="false">_xlfn.CONCAT(Tabela2[[#This Row],[Coluna1]],Tabela2[[#This Row],[Coluna2]])</f>
        <v>SO</v>
      </c>
      <c r="F33" s="22"/>
      <c r="G33" s="26"/>
      <c r="H33" s="16"/>
      <c r="J33" s="18" t="s">
        <v>35</v>
      </c>
      <c r="K33" s="18" t="s">
        <v>20</v>
      </c>
      <c r="L33" s="9" t="s">
        <v>114</v>
      </c>
      <c r="M33" s="25" t="s">
        <v>47</v>
      </c>
      <c r="N33" s="9" t="s">
        <v>115</v>
      </c>
      <c r="O33" s="20" t="str">
        <f aca="false">CONCATENATE(J33,K33,M33)</f>
        <v>TSD</v>
      </c>
      <c r="P33" s="17" t="str">
        <f aca="false">CONCATENATE(L33," ",N33)</f>
        <v>TRAVA DE SEGURANÇA DESTRAVADA</v>
      </c>
    </row>
    <row r="34" customFormat="false" ht="15" hidden="false" customHeight="true" outlineLevel="0" collapsed="false">
      <c r="B34" s="13" t="s">
        <v>35</v>
      </c>
      <c r="C34" s="13" t="s">
        <v>18</v>
      </c>
      <c r="D34" s="14" t="s">
        <v>116</v>
      </c>
      <c r="E34" s="15" t="str">
        <f aca="false">_xlfn.CONCAT(Tabela2[[#This Row],[Coluna1]],Tabela2[[#This Row],[Coluna2]])</f>
        <v>TL</v>
      </c>
      <c r="F34" s="14"/>
      <c r="G34" s="26"/>
      <c r="H34" s="16"/>
      <c r="J34" s="18" t="s">
        <v>20</v>
      </c>
      <c r="K34" s="18" t="s">
        <v>35</v>
      </c>
      <c r="L34" s="9" t="s">
        <v>117</v>
      </c>
      <c r="M34" s="19" t="s">
        <v>42</v>
      </c>
      <c r="N34" s="9" t="s">
        <v>118</v>
      </c>
      <c r="O34" s="20" t="str">
        <f aca="false">CONCATENATE(J34,K34,M34)</f>
        <v>STV</v>
      </c>
      <c r="P34" s="17" t="str">
        <f aca="false">CONCATENATE(L34," ",N34)</f>
        <v>SENSOR DE TEMPERATURA VARIAVEL</v>
      </c>
    </row>
    <row r="35" customFormat="false" ht="15" hidden="false" customHeight="true" outlineLevel="0" collapsed="false">
      <c r="B35" s="18" t="s">
        <v>35</v>
      </c>
      <c r="C35" s="18" t="s">
        <v>27</v>
      </c>
      <c r="D35" s="22" t="s">
        <v>119</v>
      </c>
      <c r="E35" s="15" t="str">
        <f aca="false">_xlfn.CONCAT(Tabela2[[#This Row],[Coluna1]],Tabela2[[#This Row],[Coluna2]])</f>
        <v>TR</v>
      </c>
      <c r="F35" s="22"/>
      <c r="G35" s="26"/>
      <c r="H35" s="16"/>
      <c r="J35" s="18" t="s">
        <v>20</v>
      </c>
      <c r="K35" s="18" t="s">
        <v>35</v>
      </c>
      <c r="L35" s="9" t="s">
        <v>117</v>
      </c>
      <c r="M35" s="25" t="s">
        <v>17</v>
      </c>
      <c r="N35" s="9" t="s">
        <v>23</v>
      </c>
      <c r="O35" s="20" t="str">
        <f aca="false">CONCATENATE(J35,K35,M35)</f>
        <v>STA</v>
      </c>
      <c r="P35" s="17" t="str">
        <f aca="false">CONCATENATE(L35," ",N35)</f>
        <v>SENSOR DE TEMPERATURA ALTO</v>
      </c>
    </row>
    <row r="36" customFormat="false" ht="15" hidden="false" customHeight="true" outlineLevel="0" collapsed="false">
      <c r="B36" s="13" t="s">
        <v>35</v>
      </c>
      <c r="C36" s="13" t="s">
        <v>41</v>
      </c>
      <c r="D36" s="14" t="s">
        <v>120</v>
      </c>
      <c r="E36" s="15" t="str">
        <f aca="false">_xlfn.CONCAT(Tabela2[[#This Row],[Coluna1]],Tabela2[[#This Row],[Coluna2]])</f>
        <v>TC</v>
      </c>
      <c r="F36" s="14"/>
      <c r="G36" s="26"/>
      <c r="H36" s="16"/>
      <c r="J36" s="18" t="s">
        <v>20</v>
      </c>
      <c r="K36" s="18" t="s">
        <v>35</v>
      </c>
      <c r="L36" s="9" t="s">
        <v>117</v>
      </c>
      <c r="M36" s="19" t="s">
        <v>28</v>
      </c>
      <c r="N36" s="9" t="s">
        <v>33</v>
      </c>
      <c r="O36" s="20" t="str">
        <f aca="false">CONCATENATE(J36,K36,M36)</f>
        <v>STB</v>
      </c>
      <c r="P36" s="17" t="str">
        <f aca="false">CONCATENATE(L36," ",N36)</f>
        <v>SENSOR DE TEMPERATURA BAIXO</v>
      </c>
    </row>
    <row r="37" customFormat="false" ht="15" hidden="false" customHeight="true" outlineLevel="0" collapsed="false">
      <c r="B37" s="18" t="s">
        <v>35</v>
      </c>
      <c r="C37" s="18" t="s">
        <v>44</v>
      </c>
      <c r="D37" s="22" t="s">
        <v>121</v>
      </c>
      <c r="E37" s="15" t="str">
        <f aca="false">_xlfn.CONCAT(Tabela2[[#This Row],[Coluna1]],Tabela2[[#This Row],[Coluna2]])</f>
        <v>TF</v>
      </c>
      <c r="F37" s="22"/>
      <c r="G37" s="26"/>
      <c r="H37" s="16"/>
      <c r="J37" s="18" t="s">
        <v>20</v>
      </c>
      <c r="K37" s="18" t="s">
        <v>30</v>
      </c>
      <c r="L37" s="9" t="s">
        <v>122</v>
      </c>
      <c r="M37" s="25" t="s">
        <v>17</v>
      </c>
      <c r="N37" s="9" t="s">
        <v>123</v>
      </c>
      <c r="O37" s="20" t="str">
        <f aca="false">CONCATENATE(J37,K37,M37)</f>
        <v>SMA</v>
      </c>
      <c r="P37" s="17" t="str">
        <f aca="false">CONCATENATE(L37," ",N37)</f>
        <v>SENSOR DE MOVIMENTO ACIONADO</v>
      </c>
    </row>
    <row r="38" customFormat="false" ht="15" hidden="false" customHeight="true" outlineLevel="0" collapsed="false">
      <c r="B38" s="13" t="s">
        <v>35</v>
      </c>
      <c r="C38" s="13" t="s">
        <v>35</v>
      </c>
      <c r="D38" s="14" t="s">
        <v>124</v>
      </c>
      <c r="E38" s="15" t="str">
        <f aca="false">_xlfn.CONCAT(Tabela2[[#This Row],[Coluna1]],Tabela2[[#This Row],[Coluna2]])</f>
        <v>TT</v>
      </c>
      <c r="F38" s="14"/>
      <c r="G38" s="26"/>
      <c r="H38" s="16"/>
      <c r="J38" s="18" t="s">
        <v>20</v>
      </c>
      <c r="K38" s="18" t="s">
        <v>51</v>
      </c>
      <c r="L38" s="9" t="s">
        <v>125</v>
      </c>
      <c r="M38" s="19" t="s">
        <v>17</v>
      </c>
      <c r="N38" s="9" t="s">
        <v>123</v>
      </c>
      <c r="O38" s="20" t="str">
        <f aca="false">CONCATENATE(J38,K38,M38)</f>
        <v>SEA</v>
      </c>
      <c r="P38" s="17" t="str">
        <f aca="false">CONCATENATE(L38," ",N38)</f>
        <v>SENSOR EMBUCHAMENTO ACIONADO</v>
      </c>
    </row>
    <row r="39" customFormat="false" ht="15" hidden="false" customHeight="true" outlineLevel="0" collapsed="false">
      <c r="B39" s="18" t="s">
        <v>35</v>
      </c>
      <c r="C39" s="18" t="s">
        <v>126</v>
      </c>
      <c r="D39" s="22" t="s">
        <v>127</v>
      </c>
      <c r="E39" s="15" t="str">
        <f aca="false">_xlfn.CONCAT(Tabela2[[#This Row],[Coluna1]],Tabela2[[#This Row],[Coluna2]])</f>
        <v>TC </v>
      </c>
      <c r="F39" s="22"/>
      <c r="G39" s="26"/>
      <c r="H39" s="16"/>
      <c r="J39" s="18" t="s">
        <v>20</v>
      </c>
      <c r="K39" s="18" t="s">
        <v>21</v>
      </c>
      <c r="L39" s="9" t="s">
        <v>22</v>
      </c>
      <c r="M39" s="25" t="s">
        <v>42</v>
      </c>
      <c r="N39" s="9" t="s">
        <v>118</v>
      </c>
      <c r="O39" s="20" t="str">
        <f aca="false">CONCATENATE(J39,K39,M39)</f>
        <v>SNV</v>
      </c>
      <c r="P39" s="17" t="str">
        <f aca="false">CONCATENATE(L39," ",N39)</f>
        <v>SENSOR DE NIVEL VARIAVEL</v>
      </c>
    </row>
    <row r="40" customFormat="false" ht="15" hidden="false" customHeight="true" outlineLevel="0" collapsed="false">
      <c r="B40" s="13" t="s">
        <v>69</v>
      </c>
      <c r="C40" s="13" t="s">
        <v>30</v>
      </c>
      <c r="D40" s="14" t="s">
        <v>128</v>
      </c>
      <c r="E40" s="15" t="str">
        <f aca="false">_xlfn.CONCAT(Tabela2[[#This Row],[Coluna1]],Tabela2[[#This Row],[Coluna2]])</f>
        <v>GM</v>
      </c>
      <c r="F40" s="14"/>
      <c r="G40" s="26"/>
      <c r="H40" s="16"/>
      <c r="J40" s="18" t="s">
        <v>20</v>
      </c>
      <c r="K40" s="18" t="s">
        <v>47</v>
      </c>
      <c r="L40" s="9" t="s">
        <v>129</v>
      </c>
      <c r="M40" s="19" t="s">
        <v>42</v>
      </c>
      <c r="N40" s="9" t="s">
        <v>118</v>
      </c>
      <c r="O40" s="20" t="str">
        <f aca="false">CONCATENATE(J40,K40,M40)</f>
        <v>SDV</v>
      </c>
      <c r="P40" s="17" t="str">
        <f aca="false">CONCATENATE(L40," ",N40)</f>
        <v>SENSOR DESALINHAMENTO VARIAVEL</v>
      </c>
    </row>
    <row r="41" customFormat="false" ht="15" hidden="false" customHeight="true" outlineLevel="0" collapsed="false">
      <c r="B41" s="18" t="s">
        <v>69</v>
      </c>
      <c r="C41" s="18" t="s">
        <v>37</v>
      </c>
      <c r="D41" s="22" t="s">
        <v>130</v>
      </c>
      <c r="E41" s="15" t="str">
        <f aca="false">_xlfn.CONCAT(Tabela2[[#This Row],[Coluna1]],Tabela2[[#This Row],[Coluna2]])</f>
        <v>GP</v>
      </c>
      <c r="F41" s="22"/>
      <c r="G41" s="26"/>
      <c r="H41" s="16"/>
      <c r="J41" s="18" t="s">
        <v>20</v>
      </c>
      <c r="K41" s="18" t="s">
        <v>47</v>
      </c>
      <c r="L41" s="9" t="s">
        <v>129</v>
      </c>
      <c r="M41" s="25" t="s">
        <v>17</v>
      </c>
      <c r="N41" s="9" t="s">
        <v>123</v>
      </c>
      <c r="O41" s="20" t="str">
        <f aca="false">CONCATENATE(J41,K41,M41)</f>
        <v>SDA</v>
      </c>
      <c r="P41" s="17" t="str">
        <f aca="false">CONCATENATE(L41," ",N41)</f>
        <v>SENSOR DESALINHAMENTO ACIONADO</v>
      </c>
    </row>
    <row r="42" customFormat="false" ht="15" hidden="false" customHeight="true" outlineLevel="0" collapsed="false">
      <c r="B42" s="13" t="s">
        <v>69</v>
      </c>
      <c r="C42" s="13" t="s">
        <v>17</v>
      </c>
      <c r="D42" s="14" t="s">
        <v>131</v>
      </c>
      <c r="E42" s="15" t="str">
        <f aca="false">_xlfn.CONCAT(Tabela2[[#This Row],[Coluna1]],Tabela2[[#This Row],[Coluna2]])</f>
        <v>GA</v>
      </c>
      <c r="F42" s="14"/>
      <c r="G42" s="26"/>
      <c r="H42" s="16"/>
      <c r="J42" s="18" t="s">
        <v>20</v>
      </c>
      <c r="K42" s="18" t="s">
        <v>44</v>
      </c>
      <c r="L42" s="9" t="s">
        <v>132</v>
      </c>
      <c r="M42" s="19" t="s">
        <v>42</v>
      </c>
      <c r="N42" s="9" t="s">
        <v>133</v>
      </c>
      <c r="O42" s="20" t="str">
        <f aca="false">CONCATENATE(J42,K42,M42)</f>
        <v>SFV</v>
      </c>
      <c r="P42" s="17" t="str">
        <f aca="false">CONCATENATE(L42," ",N42)</f>
        <v>SENSOR DE FLUXO VARIÁVEL</v>
      </c>
    </row>
    <row r="43" customFormat="false" ht="15" hidden="false" customHeight="true" outlineLevel="0" collapsed="false">
      <c r="B43" s="18" t="s">
        <v>69</v>
      </c>
      <c r="C43" s="18" t="s">
        <v>134</v>
      </c>
      <c r="D43" s="22" t="s">
        <v>135</v>
      </c>
      <c r="E43" s="15" t="str">
        <f aca="false">_xlfn.CONCAT(Tabela2[[#This Row],[Coluna1]],Tabela2[[#This Row],[Coluna2]])</f>
        <v>GH</v>
      </c>
      <c r="F43" s="22"/>
      <c r="G43" s="26"/>
      <c r="H43" s="16"/>
      <c r="J43" s="18" t="s">
        <v>20</v>
      </c>
      <c r="K43" s="18" t="s">
        <v>27</v>
      </c>
      <c r="L43" s="9" t="s">
        <v>136</v>
      </c>
      <c r="M43" s="25" t="s">
        <v>17</v>
      </c>
      <c r="N43" s="9" t="s">
        <v>23</v>
      </c>
      <c r="O43" s="20" t="str">
        <f aca="false">CONCATENATE(J43,K43,M43)</f>
        <v>SRA</v>
      </c>
      <c r="P43" s="17" t="str">
        <f aca="false">CONCATENATE(L43," ",N43)</f>
        <v>SENSOR DE PRESSÃO  ALTO</v>
      </c>
    </row>
    <row r="44" customFormat="false" ht="15" hidden="false" customHeight="true" outlineLevel="0" collapsed="false">
      <c r="B44" s="13" t="s">
        <v>42</v>
      </c>
      <c r="C44" s="13" t="s">
        <v>53</v>
      </c>
      <c r="D44" s="14" t="s">
        <v>137</v>
      </c>
      <c r="E44" s="15" t="str">
        <f aca="false">_xlfn.CONCAT(Tabela2[[#This Row],[Coluna1]],Tabela2[[#This Row],[Coluna2]])</f>
        <v>VI</v>
      </c>
      <c r="F44" s="14"/>
      <c r="G44" s="26"/>
      <c r="H44" s="16"/>
      <c r="J44" s="18" t="s">
        <v>20</v>
      </c>
      <c r="K44" s="18" t="s">
        <v>27</v>
      </c>
      <c r="L44" s="9" t="s">
        <v>136</v>
      </c>
      <c r="M44" s="19" t="s">
        <v>28</v>
      </c>
      <c r="N44" s="9" t="s">
        <v>33</v>
      </c>
      <c r="O44" s="20" t="str">
        <f aca="false">CONCATENATE(J44,K44,M44)</f>
        <v>SRB</v>
      </c>
      <c r="P44" s="17" t="str">
        <f aca="false">CONCATENATE(L44," ",N44)</f>
        <v>SENSOR DE PRESSÃO  BAIXO</v>
      </c>
    </row>
    <row r="45" customFormat="false" ht="15" hidden="false" customHeight="true" outlineLevel="0" collapsed="false">
      <c r="B45" s="18" t="s">
        <v>28</v>
      </c>
      <c r="C45" s="18" t="s">
        <v>44</v>
      </c>
      <c r="D45" s="22" t="s">
        <v>138</v>
      </c>
      <c r="E45" s="15" t="str">
        <f aca="false">_xlfn.CONCAT(Tabela2[[#This Row],[Coluna1]],Tabela2[[#This Row],[Coluna2]])</f>
        <v>BF</v>
      </c>
      <c r="F45" s="22"/>
      <c r="G45" s="26"/>
      <c r="H45" s="16"/>
      <c r="J45" s="18" t="s">
        <v>20</v>
      </c>
      <c r="K45" s="18" t="s">
        <v>27</v>
      </c>
      <c r="L45" s="9" t="s">
        <v>136</v>
      </c>
      <c r="M45" s="25" t="s">
        <v>42</v>
      </c>
      <c r="N45" s="9" t="s">
        <v>133</v>
      </c>
      <c r="O45" s="20" t="str">
        <f aca="false">CONCATENATE(J45,K45,M45)</f>
        <v>SRV</v>
      </c>
      <c r="P45" s="17" t="str">
        <f aca="false">CONCATENATE(L45," ",N45)</f>
        <v>SENSOR DE PRESSÃO  VARIÁVEL</v>
      </c>
    </row>
    <row r="46" customFormat="false" ht="15" hidden="false" customHeight="true" outlineLevel="0" collapsed="false">
      <c r="B46" s="13" t="s">
        <v>47</v>
      </c>
      <c r="C46" s="13" t="s">
        <v>35</v>
      </c>
      <c r="D46" s="14" t="s">
        <v>139</v>
      </c>
      <c r="E46" s="15" t="str">
        <f aca="false">_xlfn.CONCAT(Tabela2[[#This Row],[Coluna1]],Tabela2[[#This Row],[Coluna2]])</f>
        <v>DT</v>
      </c>
      <c r="F46" s="14"/>
      <c r="G46" s="26"/>
      <c r="H46" s="16"/>
      <c r="J46" s="18" t="s">
        <v>20</v>
      </c>
      <c r="K46" s="18" t="s">
        <v>17</v>
      </c>
      <c r="L46" s="9" t="s">
        <v>140</v>
      </c>
      <c r="M46" s="19" t="s">
        <v>42</v>
      </c>
      <c r="N46" s="9" t="s">
        <v>133</v>
      </c>
      <c r="O46" s="20" t="str">
        <f aca="false">CONCATENATE(J46,K46,M46)</f>
        <v>SAV</v>
      </c>
      <c r="P46" s="17" t="str">
        <f aca="false">CONCATENATE(L46," ",N46)</f>
        <v>SENSOR DETECÇÃO DE PARTICULAS VARIÁVEL</v>
      </c>
    </row>
    <row r="47" customFormat="false" ht="15" hidden="false" customHeight="true" outlineLevel="0" collapsed="false">
      <c r="B47" s="18" t="s">
        <v>51</v>
      </c>
      <c r="C47" s="18" t="s">
        <v>42</v>
      </c>
      <c r="D47" s="22" t="s">
        <v>62</v>
      </c>
      <c r="E47" s="15" t="str">
        <f aca="false">_xlfn.CONCAT(Tabela2[[#This Row],[Coluna1]],Tabela2[[#This Row],[Coluna2]])</f>
        <v>EV</v>
      </c>
      <c r="F47" s="22"/>
      <c r="G47" s="26"/>
      <c r="H47" s="16"/>
      <c r="J47" s="18"/>
      <c r="K47" s="18"/>
      <c r="M47" s="25"/>
      <c r="O47" s="20" t="str">
        <f aca="false">CONCATENATE(J47,K47,M47)</f>
        <v/>
      </c>
      <c r="P47" s="17" t="str">
        <f aca="false">CONCATENATE(L47," ",N47)</f>
        <v> </v>
      </c>
    </row>
    <row r="48" customFormat="false" ht="15" hidden="false" customHeight="true" outlineLevel="0" collapsed="false">
      <c r="B48" s="13" t="s">
        <v>35</v>
      </c>
      <c r="C48" s="13" t="s">
        <v>81</v>
      </c>
      <c r="D48" s="14" t="s">
        <v>141</v>
      </c>
      <c r="E48" s="15" t="str">
        <f aca="false">_xlfn.CONCAT(Tabela2[[#This Row],[Coluna1]],Tabela2[[#This Row],[Coluna2]])</f>
        <v>TQ</v>
      </c>
      <c r="F48" s="14"/>
      <c r="G48" s="26"/>
      <c r="H48" s="16"/>
      <c r="J48" s="18"/>
      <c r="K48" s="18"/>
      <c r="M48" s="19"/>
      <c r="O48" s="20" t="str">
        <f aca="false">CONCATENATE(J48,K48,M48)</f>
        <v/>
      </c>
      <c r="P48" s="17" t="str">
        <f aca="false">CONCATENATE(L48," ",N48)</f>
        <v> </v>
      </c>
    </row>
    <row r="49" customFormat="false" ht="15" hidden="false" customHeight="true" outlineLevel="0" collapsed="false">
      <c r="B49" s="18" t="s">
        <v>20</v>
      </c>
      <c r="C49" s="18" t="s">
        <v>47</v>
      </c>
      <c r="D49" s="22" t="s">
        <v>129</v>
      </c>
      <c r="E49" s="15" t="str">
        <f aca="false">_xlfn.CONCAT(Tabela2[[#This Row],[Coluna1]],Tabela2[[#This Row],[Coluna2]])</f>
        <v>SD</v>
      </c>
      <c r="F49" s="22"/>
      <c r="G49" s="26"/>
      <c r="H49" s="16"/>
      <c r="J49" s="18"/>
      <c r="K49" s="18"/>
      <c r="M49" s="25"/>
      <c r="O49" s="20" t="str">
        <f aca="false">CONCATENATE(J49,K49,M49)</f>
        <v/>
      </c>
      <c r="P49" s="17" t="str">
        <f aca="false">CONCATENATE(L49," ",N49)</f>
        <v> </v>
      </c>
    </row>
    <row r="50" customFormat="false" ht="15" hidden="false" customHeight="true" outlineLevel="0" collapsed="false">
      <c r="B50" s="13" t="s">
        <v>37</v>
      </c>
      <c r="C50" s="13" t="s">
        <v>94</v>
      </c>
      <c r="D50" s="14" t="s">
        <v>142</v>
      </c>
      <c r="E50" s="15" t="str">
        <f aca="false">_xlfn.CONCAT(Tabela2[[#This Row],[Coluna1]],Tabela2[[#This Row],[Coluna2]])</f>
        <v>PU</v>
      </c>
      <c r="F50" s="14"/>
      <c r="G50" s="26"/>
      <c r="H50" s="16"/>
      <c r="J50" s="18"/>
      <c r="K50" s="18"/>
      <c r="M50" s="19"/>
      <c r="O50" s="20" t="str">
        <f aca="false">CONCATENATE(J50,K50,M50)</f>
        <v/>
      </c>
      <c r="P50" s="17" t="str">
        <f aca="false">CONCATENATE(L50," ",N50)</f>
        <v> </v>
      </c>
    </row>
    <row r="51" customFormat="false" ht="15" hidden="false" customHeight="true" outlineLevel="0" collapsed="false">
      <c r="B51" s="18" t="s">
        <v>28</v>
      </c>
      <c r="C51" s="18" t="s">
        <v>134</v>
      </c>
      <c r="D51" s="22" t="s">
        <v>143</v>
      </c>
      <c r="E51" s="15" t="str">
        <f aca="false">_xlfn.CONCAT(Tabela2[[#This Row],[Coluna1]],Tabela2[[#This Row],[Coluna2]])</f>
        <v>BH</v>
      </c>
      <c r="F51" s="22"/>
      <c r="G51" s="26"/>
      <c r="H51" s="16"/>
      <c r="J51" s="18"/>
      <c r="K51" s="18"/>
      <c r="M51" s="25"/>
      <c r="O51" s="20" t="str">
        <f aca="false">CONCATENATE(J51,K51,M51)</f>
        <v/>
      </c>
      <c r="P51" s="17" t="str">
        <f aca="false">CONCATENATE(L51," ",N51)</f>
        <v> </v>
      </c>
    </row>
    <row r="52" customFormat="false" ht="15" hidden="false" customHeight="true" outlineLevel="0" collapsed="false">
      <c r="B52" s="13" t="s">
        <v>28</v>
      </c>
      <c r="C52" s="13" t="s">
        <v>37</v>
      </c>
      <c r="D52" s="14" t="s">
        <v>144</v>
      </c>
      <c r="E52" s="15" t="str">
        <f aca="false">_xlfn.CONCAT(Tabela2[[#This Row],[Coluna1]],Tabela2[[#This Row],[Coluna2]])</f>
        <v>BP</v>
      </c>
      <c r="F52" s="14"/>
      <c r="G52" s="26"/>
      <c r="H52" s="16"/>
      <c r="J52" s="18"/>
      <c r="K52" s="18"/>
      <c r="M52" s="19"/>
      <c r="O52" s="20" t="str">
        <f aca="false">CONCATENATE(J52,K52,M52)</f>
        <v/>
      </c>
      <c r="P52" s="17" t="str">
        <f aca="false">CONCATENATE(L52," ",N52)</f>
        <v> </v>
      </c>
    </row>
    <row r="53" customFormat="false" ht="15" hidden="false" customHeight="true" outlineLevel="0" collapsed="false">
      <c r="B53" s="18" t="s">
        <v>28</v>
      </c>
      <c r="C53" s="18" t="s">
        <v>41</v>
      </c>
      <c r="D53" s="22" t="s">
        <v>145</v>
      </c>
      <c r="E53" s="15" t="str">
        <f aca="false">_xlfn.CONCAT(Tabela2[[#This Row],[Coluna1]],Tabela2[[#This Row],[Coluna2]])</f>
        <v>BC</v>
      </c>
      <c r="F53" s="22"/>
      <c r="G53" s="26"/>
      <c r="H53" s="16"/>
      <c r="J53" s="18"/>
      <c r="K53" s="18"/>
      <c r="M53" s="25"/>
      <c r="O53" s="20" t="str">
        <f aca="false">CONCATENATE(J53,K53,M53)</f>
        <v/>
      </c>
      <c r="P53" s="17" t="str">
        <f aca="false">CONCATENATE(L53," ",N53)</f>
        <v> </v>
      </c>
    </row>
    <row r="54" customFormat="false" ht="15" hidden="false" customHeight="true" outlineLevel="0" collapsed="false">
      <c r="B54" s="13" t="s">
        <v>41</v>
      </c>
      <c r="C54" s="13" t="s">
        <v>53</v>
      </c>
      <c r="D54" s="14" t="s">
        <v>146</v>
      </c>
      <c r="E54" s="15" t="str">
        <f aca="false">_xlfn.CONCAT(Tabela2[[#This Row],[Coluna1]],Tabela2[[#This Row],[Coluna2]])</f>
        <v>CI</v>
      </c>
      <c r="F54" s="14"/>
      <c r="G54" s="26"/>
      <c r="H54" s="16"/>
      <c r="J54" s="18"/>
      <c r="K54" s="18"/>
      <c r="M54" s="19"/>
      <c r="O54" s="20" t="str">
        <f aca="false">CONCATENATE(J54,K54,M54)</f>
        <v/>
      </c>
      <c r="P54" s="17" t="str">
        <f aca="false">CONCATENATE(L54," ",N54)</f>
        <v> </v>
      </c>
    </row>
    <row r="55" customFormat="false" ht="15" hidden="false" customHeight="true" outlineLevel="0" collapsed="false">
      <c r="B55" s="18" t="s">
        <v>47</v>
      </c>
      <c r="C55" s="18" t="s">
        <v>27</v>
      </c>
      <c r="D55" s="22" t="s">
        <v>147</v>
      </c>
      <c r="E55" s="15" t="str">
        <f aca="false">_xlfn.CONCAT(Tabela2[[#This Row],[Coluna1]],Tabela2[[#This Row],[Coluna2]])</f>
        <v>DR</v>
      </c>
      <c r="F55" s="22"/>
      <c r="G55" s="26"/>
      <c r="H55" s="16"/>
      <c r="J55" s="18"/>
      <c r="K55" s="18"/>
      <c r="M55" s="25"/>
      <c r="O55" s="20" t="str">
        <f aca="false">CONCATENATE(J55,K55,M55)</f>
        <v/>
      </c>
      <c r="P55" s="17" t="str">
        <f aca="false">CONCATENATE(L55," ",N55)</f>
        <v> </v>
      </c>
    </row>
    <row r="56" customFormat="false" ht="15" hidden="false" customHeight="true" outlineLevel="0" collapsed="false">
      <c r="B56" s="13" t="s">
        <v>51</v>
      </c>
      <c r="C56" s="13" t="s">
        <v>41</v>
      </c>
      <c r="D56" s="14" t="s">
        <v>148</v>
      </c>
      <c r="E56" s="15" t="str">
        <f aca="false">_xlfn.CONCAT(Tabela2[[#This Row],[Coluna1]],Tabela2[[#This Row],[Coluna2]])</f>
        <v>EC</v>
      </c>
      <c r="F56" s="14"/>
      <c r="G56" s="26"/>
      <c r="H56" s="16"/>
      <c r="J56" s="18"/>
      <c r="K56" s="18"/>
      <c r="M56" s="19"/>
      <c r="O56" s="20" t="str">
        <f aca="false">CONCATENATE(J56,K56,M56)</f>
        <v/>
      </c>
      <c r="P56" s="17" t="str">
        <f aca="false">CONCATENATE(L56," ",N56)</f>
        <v> </v>
      </c>
    </row>
    <row r="57" customFormat="false" ht="15" hidden="false" customHeight="true" outlineLevel="0" collapsed="false">
      <c r="B57" s="18" t="s">
        <v>51</v>
      </c>
      <c r="C57" s="18" t="s">
        <v>37</v>
      </c>
      <c r="D57" s="22" t="s">
        <v>149</v>
      </c>
      <c r="E57" s="15" t="str">
        <f aca="false">_xlfn.CONCAT(Tabela2[[#This Row],[Coluna1]],Tabela2[[#This Row],[Coluna2]])</f>
        <v>EP</v>
      </c>
      <c r="F57" s="22"/>
      <c r="G57" s="26"/>
      <c r="H57" s="16"/>
      <c r="J57" s="18"/>
      <c r="K57" s="18"/>
      <c r="M57" s="25"/>
      <c r="O57" s="20" t="str">
        <f aca="false">CONCATENATE(J57,K57,M57)</f>
        <v/>
      </c>
      <c r="P57" s="17" t="str">
        <f aca="false">CONCATENATE(L57," ",N57)</f>
        <v> </v>
      </c>
    </row>
    <row r="58" customFormat="false" ht="15" hidden="false" customHeight="true" outlineLevel="0" collapsed="false">
      <c r="B58" s="13" t="s">
        <v>44</v>
      </c>
      <c r="C58" s="13" t="s">
        <v>37</v>
      </c>
      <c r="D58" s="14" t="s">
        <v>150</v>
      </c>
      <c r="E58" s="15" t="str">
        <f aca="false">_xlfn.CONCAT(Tabela2[[#This Row],[Coluna1]],Tabela2[[#This Row],[Coluna2]])</f>
        <v>FP</v>
      </c>
      <c r="F58" s="14"/>
      <c r="G58" s="26"/>
      <c r="H58" s="16"/>
      <c r="J58" s="18"/>
      <c r="K58" s="18"/>
      <c r="M58" s="19"/>
      <c r="O58" s="20" t="str">
        <f aca="false">CONCATENATE(J58,K58,M58)</f>
        <v/>
      </c>
      <c r="P58" s="17" t="str">
        <f aca="false">CONCATENATE(L58," ",N58)</f>
        <v> </v>
      </c>
    </row>
    <row r="59" customFormat="false" ht="15" hidden="false" customHeight="true" outlineLevel="0" collapsed="false">
      <c r="B59" s="18" t="s">
        <v>44</v>
      </c>
      <c r="C59" s="18" t="s">
        <v>30</v>
      </c>
      <c r="D59" s="22" t="s">
        <v>151</v>
      </c>
      <c r="E59" s="15" t="str">
        <f aca="false">_xlfn.CONCAT(Tabela2[[#This Row],[Coluna1]],Tabela2[[#This Row],[Coluna2]])</f>
        <v>FM</v>
      </c>
      <c r="F59" s="22"/>
      <c r="G59" s="26"/>
      <c r="H59" s="16"/>
      <c r="J59" s="18"/>
      <c r="K59" s="18"/>
      <c r="M59" s="25"/>
      <c r="O59" s="20" t="str">
        <f aca="false">CONCATENATE(J59,K59,M59)</f>
        <v/>
      </c>
      <c r="P59" s="17" t="str">
        <f aca="false">CONCATENATE(L59," ",N59)</f>
        <v> </v>
      </c>
    </row>
    <row r="60" customFormat="false" ht="15" hidden="false" customHeight="true" outlineLevel="0" collapsed="false">
      <c r="B60" s="13" t="s">
        <v>69</v>
      </c>
      <c r="C60" s="13" t="s">
        <v>27</v>
      </c>
      <c r="D60" s="14" t="s">
        <v>152</v>
      </c>
      <c r="E60" s="15" t="str">
        <f aca="false">_xlfn.CONCAT(Tabela2[[#This Row],[Coluna1]],Tabela2[[#This Row],[Coluna2]])</f>
        <v>GR</v>
      </c>
      <c r="F60" s="14"/>
      <c r="G60" s="26"/>
      <c r="H60" s="16"/>
      <c r="J60" s="18"/>
      <c r="K60" s="18"/>
      <c r="M60" s="19"/>
      <c r="O60" s="20" t="str">
        <f aca="false">CONCATENATE(J60,K60,M60)</f>
        <v/>
      </c>
      <c r="P60" s="17" t="str">
        <f aca="false">CONCATENATE(L60," ",N60)</f>
        <v> </v>
      </c>
    </row>
    <row r="61" customFormat="false" ht="15" hidden="false" customHeight="true" outlineLevel="0" collapsed="false">
      <c r="B61" s="18" t="s">
        <v>53</v>
      </c>
      <c r="C61" s="18" t="s">
        <v>30</v>
      </c>
      <c r="D61" s="22" t="s">
        <v>153</v>
      </c>
      <c r="E61" s="15" t="str">
        <f aca="false">_xlfn.CONCAT(Tabela2[[#This Row],[Coluna1]],Tabela2[[#This Row],[Coluna2]])</f>
        <v>IM</v>
      </c>
      <c r="F61" s="22"/>
      <c r="G61" s="32"/>
      <c r="H61" s="33"/>
      <c r="J61" s="18"/>
      <c r="K61" s="18"/>
      <c r="M61" s="25"/>
      <c r="O61" s="20" t="str">
        <f aca="false">CONCATENATE(J61,K61,M61)</f>
        <v/>
      </c>
      <c r="P61" s="17" t="str">
        <f aca="false">CONCATENATE(L61," ",N61)</f>
        <v> </v>
      </c>
    </row>
    <row r="62" customFormat="false" ht="15" hidden="false" customHeight="true" outlineLevel="0" collapsed="false">
      <c r="B62" s="13" t="s">
        <v>30</v>
      </c>
      <c r="C62" s="13" t="s">
        <v>134</v>
      </c>
      <c r="D62" s="14" t="s">
        <v>154</v>
      </c>
      <c r="E62" s="15" t="str">
        <f aca="false">_xlfn.CONCAT(Tabela2[[#This Row],[Coluna1]],Tabela2[[#This Row],[Coluna2]])</f>
        <v>MH</v>
      </c>
      <c r="F62" s="14"/>
      <c r="G62" s="26"/>
      <c r="H62" s="16"/>
    </row>
    <row r="63" customFormat="false" ht="15" hidden="false" customHeight="true" outlineLevel="0" collapsed="false">
      <c r="B63" s="18" t="s">
        <v>30</v>
      </c>
      <c r="C63" s="18" t="s">
        <v>30</v>
      </c>
      <c r="D63" s="22" t="s">
        <v>155</v>
      </c>
      <c r="E63" s="15" t="str">
        <f aca="false">_xlfn.CONCAT(Tabela2[[#This Row],[Coluna1]],Tabela2[[#This Row],[Coluna2]])</f>
        <v>MM</v>
      </c>
      <c r="F63" s="22"/>
      <c r="G63" s="26"/>
      <c r="H63" s="16"/>
    </row>
    <row r="64" customFormat="false" ht="15" hidden="false" customHeight="true" outlineLevel="0" collapsed="false">
      <c r="B64" s="13" t="s">
        <v>37</v>
      </c>
      <c r="C64" s="13" t="s">
        <v>30</v>
      </c>
      <c r="D64" s="14" t="s">
        <v>156</v>
      </c>
      <c r="E64" s="15" t="str">
        <f aca="false">_xlfn.CONCAT(Tabela2[[#This Row],[Coluna1]],Tabela2[[#This Row],[Coluna2]])</f>
        <v>PM</v>
      </c>
      <c r="F64" s="14"/>
      <c r="G64" s="26"/>
      <c r="H64" s="16"/>
    </row>
    <row r="65" customFormat="false" ht="15" hidden="false" customHeight="true" outlineLevel="0" collapsed="false">
      <c r="B65" s="18" t="s">
        <v>37</v>
      </c>
      <c r="C65" s="18" t="s">
        <v>42</v>
      </c>
      <c r="D65" s="22" t="s">
        <v>157</v>
      </c>
      <c r="E65" s="15" t="str">
        <f aca="false">_xlfn.CONCAT(Tabela2[[#This Row],[Coluna1]],Tabela2[[#This Row],[Coluna2]])</f>
        <v>PV</v>
      </c>
      <c r="F65" s="22"/>
      <c r="G65" s="26"/>
      <c r="H65" s="16"/>
    </row>
    <row r="66" customFormat="false" ht="15" hidden="false" customHeight="true" outlineLevel="0" collapsed="false">
      <c r="B66" s="13" t="s">
        <v>27</v>
      </c>
      <c r="C66" s="13" t="s">
        <v>30</v>
      </c>
      <c r="D66" s="14" t="s">
        <v>158</v>
      </c>
      <c r="E66" s="15" t="str">
        <f aca="false">_xlfn.CONCAT(Tabela2[[#This Row],[Coluna1]],Tabela2[[#This Row],[Coluna2]])</f>
        <v>RM</v>
      </c>
      <c r="F66" s="14"/>
      <c r="G66" s="26"/>
      <c r="H66" s="16"/>
    </row>
    <row r="67" customFormat="false" ht="15" hidden="false" customHeight="true" outlineLevel="0" collapsed="false">
      <c r="B67" s="18" t="s">
        <v>27</v>
      </c>
      <c r="C67" s="18" t="s">
        <v>37</v>
      </c>
      <c r="D67" s="22" t="s">
        <v>159</v>
      </c>
      <c r="E67" s="15" t="str">
        <f aca="false">_xlfn.CONCAT(Tabela2[[#This Row],[Coluna1]],Tabela2[[#This Row],[Coluna2]])</f>
        <v>RP</v>
      </c>
      <c r="F67" s="22"/>
      <c r="G67" s="26"/>
      <c r="H67" s="16"/>
    </row>
    <row r="68" customFormat="false" ht="15" hidden="false" customHeight="true" outlineLevel="0" collapsed="false">
      <c r="B68" s="13" t="s">
        <v>35</v>
      </c>
      <c r="C68" s="13" t="s">
        <v>134</v>
      </c>
      <c r="D68" s="14" t="s">
        <v>160</v>
      </c>
      <c r="E68" s="15" t="str">
        <f aca="false">_xlfn.CONCAT(Tabela2[[#This Row],[Coluna1]],Tabela2[[#This Row],[Coluna2]])</f>
        <v>TH</v>
      </c>
      <c r="F68" s="14"/>
      <c r="G68" s="26"/>
      <c r="H68" s="16"/>
    </row>
    <row r="69" customFormat="false" ht="15" hidden="false" customHeight="true" outlineLevel="0" collapsed="false">
      <c r="B69" s="18" t="s">
        <v>27</v>
      </c>
      <c r="C69" s="18" t="s">
        <v>18</v>
      </c>
      <c r="D69" s="22" t="s">
        <v>161</v>
      </c>
      <c r="E69" s="15" t="str">
        <f aca="false">_xlfn.CONCAT(Tabela2[[#This Row],[Coluna1]],Tabela2[[#This Row],[Coluna2]])</f>
        <v>RL</v>
      </c>
      <c r="F69" s="22"/>
      <c r="G69" s="26"/>
      <c r="H69" s="16"/>
    </row>
    <row r="70" customFormat="false" ht="15" hidden="false" customHeight="true" outlineLevel="0" collapsed="false">
      <c r="B70" s="13" t="s">
        <v>41</v>
      </c>
      <c r="C70" s="13" t="s">
        <v>37</v>
      </c>
      <c r="D70" s="14" t="s">
        <v>162</v>
      </c>
      <c r="E70" s="15" t="str">
        <f aca="false">_xlfn.CONCAT(Tabela2[[#This Row],[Coluna1]],Tabela2[[#This Row],[Coluna2]])</f>
        <v>CP</v>
      </c>
      <c r="F70" s="14"/>
      <c r="G70" s="26"/>
      <c r="H70" s="16"/>
    </row>
    <row r="71" customFormat="false" ht="15" hidden="false" customHeight="true" outlineLevel="0" collapsed="false">
      <c r="B71" s="18" t="s">
        <v>42</v>
      </c>
      <c r="C71" s="18" t="s">
        <v>35</v>
      </c>
      <c r="D71" s="22" t="s">
        <v>163</v>
      </c>
      <c r="E71" s="15" t="str">
        <f aca="false">_xlfn.CONCAT(Tabela2[[#This Row],[Coluna1]],Tabela2[[#This Row],[Coluna2]])</f>
        <v>VT</v>
      </c>
      <c r="F71" s="22"/>
      <c r="G71" s="26"/>
      <c r="H71" s="16"/>
    </row>
    <row r="72" customFormat="false" ht="15" hidden="false" customHeight="true" outlineLevel="0" collapsed="false">
      <c r="B72" s="13" t="s">
        <v>28</v>
      </c>
      <c r="C72" s="13" t="s">
        <v>42</v>
      </c>
      <c r="D72" s="14" t="s">
        <v>164</v>
      </c>
      <c r="E72" s="15" t="str">
        <f aca="false">_xlfn.CONCAT(Tabela2[[#This Row],[Coluna1]],Tabela2[[#This Row],[Coluna2]])</f>
        <v>BV</v>
      </c>
      <c r="F72" s="14"/>
      <c r="G72" s="26"/>
      <c r="H72" s="16"/>
    </row>
    <row r="73" customFormat="false" ht="15" hidden="false" customHeight="true" outlineLevel="0" collapsed="false">
      <c r="B73" s="18" t="s">
        <v>17</v>
      </c>
      <c r="C73" s="18" t="s">
        <v>69</v>
      </c>
      <c r="D73" s="22" t="s">
        <v>165</v>
      </c>
      <c r="E73" s="15" t="str">
        <f aca="false">_xlfn.CONCAT(Tabela2[[#This Row],[Coluna1]],Tabela2[[#This Row],[Coluna2]])</f>
        <v>AG</v>
      </c>
      <c r="F73" s="22"/>
      <c r="G73" s="26"/>
      <c r="H73" s="16"/>
    </row>
    <row r="74" customFormat="false" ht="15" hidden="false" customHeight="true" outlineLevel="0" collapsed="false">
      <c r="B74" s="13" t="s">
        <v>42</v>
      </c>
      <c r="C74" s="13" t="s">
        <v>18</v>
      </c>
      <c r="D74" s="14" t="s">
        <v>166</v>
      </c>
      <c r="E74" s="15" t="str">
        <f aca="false">_xlfn.CONCAT(Tabela2[[#This Row],[Coluna1]],Tabela2[[#This Row],[Coluna2]])</f>
        <v>VL</v>
      </c>
      <c r="F74" s="14"/>
      <c r="G74" s="26"/>
      <c r="H74" s="16"/>
    </row>
    <row r="75" customFormat="false" ht="15" hidden="false" customHeight="true" outlineLevel="0" collapsed="false">
      <c r="B75" s="18" t="s">
        <v>42</v>
      </c>
      <c r="C75" s="18" t="s">
        <v>28</v>
      </c>
      <c r="D75" s="22" t="s">
        <v>167</v>
      </c>
      <c r="E75" s="15" t="str">
        <f aca="false">_xlfn.CONCAT(Tabela2[[#This Row],[Coluna1]],Tabela2[[#This Row],[Coluna2]])</f>
        <v>VB</v>
      </c>
      <c r="F75" s="22"/>
      <c r="G75" s="26"/>
      <c r="H75" s="16"/>
    </row>
    <row r="76" customFormat="false" ht="15" hidden="false" customHeight="true" outlineLevel="0" collapsed="false">
      <c r="B76" s="13" t="s">
        <v>42</v>
      </c>
      <c r="C76" s="13" t="s">
        <v>44</v>
      </c>
      <c r="D76" s="14" t="s">
        <v>168</v>
      </c>
      <c r="E76" s="15" t="str">
        <f aca="false">_xlfn.CONCAT(Tabela2[[#This Row],[Coluna1]],Tabela2[[#This Row],[Coluna2]])</f>
        <v>VF</v>
      </c>
      <c r="F76" s="14"/>
      <c r="G76" s="26"/>
      <c r="H76" s="16"/>
    </row>
    <row r="77" customFormat="false" ht="15" hidden="false" customHeight="true" outlineLevel="0" collapsed="false">
      <c r="B77" s="18" t="s">
        <v>42</v>
      </c>
      <c r="C77" s="18" t="s">
        <v>30</v>
      </c>
      <c r="D77" s="22" t="s">
        <v>169</v>
      </c>
      <c r="E77" s="15" t="str">
        <f aca="false">_xlfn.CONCAT(Tabela2[[#This Row],[Coluna1]],Tabela2[[#This Row],[Coluna2]])</f>
        <v>VM</v>
      </c>
      <c r="F77" s="22"/>
      <c r="G77" s="26"/>
      <c r="H77" s="16"/>
    </row>
    <row r="78" customFormat="false" ht="15" hidden="false" customHeight="true" outlineLevel="0" collapsed="false">
      <c r="B78" s="13" t="s">
        <v>42</v>
      </c>
      <c r="C78" s="13" t="s">
        <v>37</v>
      </c>
      <c r="D78" s="14" t="s">
        <v>170</v>
      </c>
      <c r="E78" s="15" t="str">
        <f aca="false">_xlfn.CONCAT(Tabela2[[#This Row],[Coluna1]],Tabela2[[#This Row],[Coluna2]])</f>
        <v>VP</v>
      </c>
      <c r="F78" s="14"/>
      <c r="G78" s="26"/>
      <c r="H78" s="16"/>
    </row>
    <row r="79" customFormat="false" ht="15" hidden="false" customHeight="true" outlineLevel="0" collapsed="false">
      <c r="B79" s="18" t="s">
        <v>42</v>
      </c>
      <c r="C79" s="18" t="s">
        <v>51</v>
      </c>
      <c r="D79" s="22" t="s">
        <v>171</v>
      </c>
      <c r="E79" s="15" t="str">
        <f aca="false">_xlfn.CONCAT(Tabela2[[#This Row],[Coluna1]],Tabela2[[#This Row],[Coluna2]])</f>
        <v>VE</v>
      </c>
      <c r="F79" s="22"/>
      <c r="G79" s="26"/>
      <c r="H79" s="16"/>
    </row>
    <row r="80" customFormat="false" ht="15" hidden="false" customHeight="true" outlineLevel="0" collapsed="false">
      <c r="B80" s="13" t="s">
        <v>20</v>
      </c>
      <c r="C80" s="13" t="s">
        <v>81</v>
      </c>
      <c r="D80" s="14" t="s">
        <v>172</v>
      </c>
      <c r="E80" s="15" t="str">
        <f aca="false">_xlfn.CONCAT(Tabela2[[#This Row],[Coluna1]],Tabela2[[#This Row],[Coluna2]])</f>
        <v>SQ</v>
      </c>
      <c r="F80" s="14"/>
      <c r="G80" s="26"/>
      <c r="H80" s="16"/>
    </row>
    <row r="81" customFormat="false" ht="15" hidden="false" customHeight="true" outlineLevel="0" collapsed="false">
      <c r="B81" s="18" t="s">
        <v>41</v>
      </c>
      <c r="C81" s="18" t="s">
        <v>18</v>
      </c>
      <c r="D81" s="22" t="s">
        <v>107</v>
      </c>
      <c r="E81" s="15" t="str">
        <f aca="false">_xlfn.CONCAT(Tabela2[[#This Row],[Coluna1]],Tabela2[[#This Row],[Coluna2]])</f>
        <v>CL</v>
      </c>
      <c r="F81" s="22"/>
      <c r="G81" s="32"/>
      <c r="H81" s="33"/>
    </row>
    <row r="82" customFormat="false" ht="15" hidden="false" customHeight="true" outlineLevel="0" collapsed="false">
      <c r="B82" s="13" t="s">
        <v>20</v>
      </c>
      <c r="C82" s="13" t="s">
        <v>20</v>
      </c>
      <c r="D82" s="14" t="s">
        <v>173</v>
      </c>
      <c r="E82" s="15" t="str">
        <f aca="false">_xlfn.CONCAT(Tabela2[[#This Row],[Coluna1]],Tabela2[[#This Row],[Coluna2]])</f>
        <v>SS</v>
      </c>
      <c r="F82" s="14"/>
      <c r="G82" s="26"/>
      <c r="H82" s="16"/>
    </row>
    <row r="83" customFormat="false" ht="15" hidden="false" customHeight="true" outlineLevel="0" collapsed="false">
      <c r="B83" s="18" t="s">
        <v>35</v>
      </c>
      <c r="C83" s="18" t="s">
        <v>20</v>
      </c>
      <c r="D83" s="22" t="s">
        <v>114</v>
      </c>
      <c r="E83" s="15" t="str">
        <f aca="false">_xlfn.CONCAT(Tabela2[[#This Row],[Coluna1]],Tabela2[[#This Row],[Coluna2]])</f>
        <v>TS</v>
      </c>
      <c r="F83" s="22"/>
      <c r="G83" s="26"/>
      <c r="H83" s="16"/>
    </row>
    <row r="84" customFormat="false" ht="15" hidden="false" customHeight="true" outlineLevel="0" collapsed="false">
      <c r="B84" s="13" t="s">
        <v>20</v>
      </c>
      <c r="C84" s="13" t="s">
        <v>35</v>
      </c>
      <c r="D84" s="14" t="s">
        <v>174</v>
      </c>
      <c r="E84" s="15" t="str">
        <f aca="false">_xlfn.CONCAT(Tabela2[[#This Row],[Coluna1]],Tabela2[[#This Row],[Coluna2]])</f>
        <v>ST</v>
      </c>
      <c r="F84" s="14"/>
      <c r="G84" s="26"/>
      <c r="H84" s="16"/>
    </row>
    <row r="85" customFormat="false" ht="15" hidden="false" customHeight="true" outlineLevel="0" collapsed="false">
      <c r="B85" s="18" t="s">
        <v>20</v>
      </c>
      <c r="C85" s="18" t="s">
        <v>30</v>
      </c>
      <c r="D85" s="22" t="s">
        <v>175</v>
      </c>
      <c r="E85" s="15" t="str">
        <f aca="false">_xlfn.CONCAT(Tabela2[[#This Row],[Coluna1]],Tabela2[[#This Row],[Coluna2]])</f>
        <v>SM</v>
      </c>
      <c r="F85" s="22"/>
      <c r="G85" s="26"/>
      <c r="H85" s="16"/>
    </row>
    <row r="86" customFormat="false" ht="15" hidden="false" customHeight="true" outlineLevel="0" collapsed="false">
      <c r="B86" s="13" t="s">
        <v>20</v>
      </c>
      <c r="C86" s="13" t="s">
        <v>21</v>
      </c>
      <c r="D86" s="14" t="s">
        <v>22</v>
      </c>
      <c r="E86" s="15" t="str">
        <f aca="false">_xlfn.CONCAT(Tabela2[[#This Row],[Coluna1]],Tabela2[[#This Row],[Coluna2]])</f>
        <v>SN</v>
      </c>
      <c r="F86" s="14"/>
      <c r="G86" s="26"/>
      <c r="H86" s="16"/>
    </row>
    <row r="87" customFormat="false" ht="15" hidden="false" customHeight="true" outlineLevel="0" collapsed="false">
      <c r="B87" s="18" t="s">
        <v>20</v>
      </c>
      <c r="C87" s="18" t="s">
        <v>51</v>
      </c>
      <c r="D87" s="22" t="s">
        <v>125</v>
      </c>
      <c r="E87" s="15" t="str">
        <f aca="false">_xlfn.CONCAT(Tabela2[[#This Row],[Coluna1]],Tabela2[[#This Row],[Coluna2]])</f>
        <v>SE</v>
      </c>
      <c r="F87" s="22"/>
      <c r="G87" s="26"/>
      <c r="H87" s="16"/>
    </row>
    <row r="88" customFormat="false" ht="15" hidden="false" customHeight="true" outlineLevel="0" collapsed="false">
      <c r="B88" s="13" t="s">
        <v>20</v>
      </c>
      <c r="C88" s="13" t="s">
        <v>27</v>
      </c>
      <c r="D88" s="14" t="s">
        <v>176</v>
      </c>
      <c r="E88" s="15" t="str">
        <f aca="false">_xlfn.CONCAT(Tabela2[[#This Row],[Coluna1]],Tabela2[[#This Row],[Coluna2]])</f>
        <v>SR</v>
      </c>
      <c r="F88" s="14"/>
      <c r="G88" s="26"/>
      <c r="H88" s="16"/>
    </row>
    <row r="89" customFormat="false" ht="15" hidden="false" customHeight="true" outlineLevel="0" collapsed="false">
      <c r="B89" s="18" t="s">
        <v>20</v>
      </c>
      <c r="C89" s="18" t="s">
        <v>44</v>
      </c>
      <c r="D89" s="22" t="s">
        <v>132</v>
      </c>
      <c r="E89" s="15" t="str">
        <f aca="false">_xlfn.CONCAT(Tabela2[[#This Row],[Coluna1]],Tabela2[[#This Row],[Coluna2]])</f>
        <v>SF</v>
      </c>
      <c r="F89" s="22"/>
      <c r="G89" s="26"/>
      <c r="H89" s="16"/>
    </row>
    <row r="90" customFormat="false" ht="15" hidden="false" customHeight="true" outlineLevel="0" collapsed="false">
      <c r="B90" s="13" t="s">
        <v>20</v>
      </c>
      <c r="C90" s="13" t="s">
        <v>17</v>
      </c>
      <c r="D90" s="14" t="s">
        <v>177</v>
      </c>
      <c r="E90" s="15" t="str">
        <f aca="false">_xlfn.CONCAT(Tabela2[[#This Row],[Coluna1]],Tabela2[[#This Row],[Coluna2]])</f>
        <v>SA</v>
      </c>
      <c r="F90" s="14"/>
      <c r="G90" s="32"/>
      <c r="H90" s="33"/>
    </row>
    <row r="91" customFormat="false" ht="15" hidden="false" customHeight="true" outlineLevel="0" collapsed="false">
      <c r="B91" s="18" t="s">
        <v>20</v>
      </c>
      <c r="C91" s="18" t="s">
        <v>37</v>
      </c>
      <c r="D91" s="22" t="s">
        <v>38</v>
      </c>
      <c r="E91" s="15" t="str">
        <f aca="false">_xlfn.CONCAT(Tabela2[[#This Row],[Coluna1]],Tabela2[[#This Row],[Coluna2]])</f>
        <v>SP</v>
      </c>
      <c r="F91" s="22"/>
      <c r="G91" s="26"/>
      <c r="H91" s="16"/>
    </row>
    <row r="92" customFormat="false" ht="15" hidden="false" customHeight="true" outlineLevel="0" collapsed="false">
      <c r="B92" s="13" t="s">
        <v>28</v>
      </c>
      <c r="C92" s="13" t="s">
        <v>53</v>
      </c>
      <c r="D92" s="14" t="s">
        <v>178</v>
      </c>
      <c r="E92" s="15" t="str">
        <f aca="false">_xlfn.CONCAT(Tabela2[[#This Row],[Coluna1]],Tabela2[[#This Row],[Coluna2]])</f>
        <v>BI</v>
      </c>
      <c r="F92" s="14"/>
      <c r="G92" s="26"/>
      <c r="H92" s="16"/>
    </row>
    <row r="93" customFormat="false" ht="15" hidden="false" customHeight="true" outlineLevel="0" collapsed="false">
      <c r="B93" s="18"/>
      <c r="C93" s="18"/>
      <c r="D93" s="22"/>
      <c r="E93" s="15" t="str">
        <f aca="false">_xlfn.CONCAT(Tabela2[[#This Row],[Coluna1]],Tabela2[[#This Row],[Coluna2]])</f>
        <v/>
      </c>
      <c r="F93" s="22"/>
      <c r="G93" s="26"/>
      <c r="H93" s="16"/>
    </row>
    <row r="94" customFormat="false" ht="15" hidden="false" customHeight="true" outlineLevel="0" collapsed="false">
      <c r="B94" s="13"/>
      <c r="C94" s="13"/>
      <c r="D94" s="14"/>
      <c r="E94" s="15" t="str">
        <f aca="false">_xlfn.CONCAT(Tabela2[[#This Row],[Coluna1]],Tabela2[[#This Row],[Coluna2]])</f>
        <v/>
      </c>
      <c r="F94" s="14"/>
      <c r="G94" s="26"/>
      <c r="H94" s="16"/>
    </row>
    <row r="95" customFormat="false" ht="15" hidden="false" customHeight="true" outlineLevel="0" collapsed="false">
      <c r="B95" s="18"/>
      <c r="C95" s="18"/>
      <c r="D95" s="22"/>
      <c r="E95" s="15" t="str">
        <f aca="false">_xlfn.CONCAT(Tabela2[[#This Row],[Coluna1]],Tabela2[[#This Row],[Coluna2]])</f>
        <v/>
      </c>
      <c r="F95" s="22"/>
      <c r="G95" s="26"/>
      <c r="H95" s="16"/>
    </row>
    <row r="96" customFormat="false" ht="15" hidden="false" customHeight="true" outlineLevel="0" collapsed="false">
      <c r="B96" s="13"/>
      <c r="C96" s="13"/>
      <c r="D96" s="14"/>
      <c r="E96" s="15" t="str">
        <f aca="false">_xlfn.CONCAT(Tabela2[[#This Row],[Coluna1]],Tabela2[[#This Row],[Coluna2]])</f>
        <v/>
      </c>
      <c r="F96" s="14"/>
      <c r="G96" s="26"/>
      <c r="H96" s="16"/>
    </row>
    <row r="97" customFormat="false" ht="15" hidden="false" customHeight="true" outlineLevel="0" collapsed="false">
      <c r="B97" s="18"/>
      <c r="C97" s="18"/>
      <c r="D97" s="22"/>
      <c r="E97" s="15" t="str">
        <f aca="false">_xlfn.CONCAT(Tabela2[[#This Row],[Coluna1]],Tabela2[[#This Row],[Coluna2]])</f>
        <v/>
      </c>
      <c r="F97" s="22"/>
      <c r="G97" s="32"/>
      <c r="H97" s="33"/>
    </row>
  </sheetData>
  <mergeCells count="27">
    <mergeCell ref="L1:N2"/>
    <mergeCell ref="E3:F3"/>
    <mergeCell ref="E4:F4"/>
    <mergeCell ref="B5:H6"/>
    <mergeCell ref="J5:P6"/>
    <mergeCell ref="V5:Y6"/>
    <mergeCell ref="AA5:AF6"/>
    <mergeCell ref="X7:Y7"/>
    <mergeCell ref="AE7:AF7"/>
    <mergeCell ref="R12:R13"/>
    <mergeCell ref="R14:R15"/>
    <mergeCell ref="R16:R17"/>
    <mergeCell ref="R18:R19"/>
    <mergeCell ref="R20:R21"/>
    <mergeCell ref="R22:R23"/>
    <mergeCell ref="V23:Y23"/>
    <mergeCell ref="V24:Y24"/>
    <mergeCell ref="V25:Y28"/>
    <mergeCell ref="Z25:AA25"/>
    <mergeCell ref="Z26:AA26"/>
    <mergeCell ref="Z27:AA27"/>
    <mergeCell ref="Z28:AA28"/>
    <mergeCell ref="V29:Y32"/>
    <mergeCell ref="Z29:AA29"/>
    <mergeCell ref="Z30:AA30"/>
    <mergeCell ref="Z31:AA31"/>
    <mergeCell ref="Z32:AA32"/>
  </mergeCells>
  <conditionalFormatting sqref="E8:E97">
    <cfRule type="duplicateValues" priority="2" aboveAverage="0" equalAverage="0" bottom="0" percent="0" rank="0" text="" dxfId="3"/>
  </conditionalFormatting>
  <conditionalFormatting sqref="H8:H97">
    <cfRule type="duplicateValues" priority="3" aboveAverage="0" equalAverage="0" bottom="0" percent="0" rank="0" text="" dxfId="3"/>
  </conditionalFormatting>
  <conditionalFormatting sqref="O8:O61">
    <cfRule type="duplicateValues" priority="4" aboveAverage="0" equalAverage="0" bottom="0" percent="0" rank="0" text="" dxfId="3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18"/>
    <col collapsed="false" customWidth="true" hidden="false" outlineLevel="0" max="9" min="9" style="0" width="2"/>
  </cols>
  <sheetData>
    <row r="2" customFormat="false" ht="22.05" hidden="false" customHeight="false" outlineLevel="0" collapsed="false">
      <c r="B2" s="34" t="s">
        <v>179</v>
      </c>
    </row>
    <row r="3" customFormat="false" ht="15" hidden="false" customHeight="false" outlineLevel="0" collapsed="false">
      <c r="B3" s="35" t="s">
        <v>180</v>
      </c>
    </row>
    <row r="4" customFormat="false" ht="15" hidden="false" customHeight="false" outlineLevel="0" collapsed="false">
      <c r="B4" s="36" t="s">
        <v>181</v>
      </c>
      <c r="C4" s="37" t="s">
        <v>182</v>
      </c>
      <c r="D4" s="38" t="s">
        <v>183</v>
      </c>
    </row>
    <row r="6" customFormat="false" ht="17.35" hidden="false" customHeight="false" outlineLevel="0" collapsed="false">
      <c r="B6" s="39" t="s">
        <v>184</v>
      </c>
    </row>
    <row r="7" customFormat="false" ht="15" hidden="false" customHeight="false" outlineLevel="0" collapsed="false">
      <c r="B7" s="35" t="s">
        <v>185</v>
      </c>
    </row>
    <row r="8" customFormat="false" ht="15" hidden="false" customHeight="false" outlineLevel="0" collapsed="false">
      <c r="B8" s="40" t="s">
        <v>186</v>
      </c>
      <c r="C8" s="40" t="s">
        <v>187</v>
      </c>
      <c r="D8" s="40" t="s">
        <v>188</v>
      </c>
      <c r="E8" s="40" t="s">
        <v>189</v>
      </c>
      <c r="F8" s="40" t="s">
        <v>190</v>
      </c>
      <c r="G8" s="40" t="s">
        <v>191</v>
      </c>
      <c r="H8" s="40" t="s">
        <v>192</v>
      </c>
    </row>
    <row r="9" customFormat="false" ht="30" hidden="false" customHeight="true" outlineLevel="0" collapsed="false">
      <c r="B9" s="41" t="s">
        <v>193</v>
      </c>
      <c r="C9" s="41" t="s">
        <v>194</v>
      </c>
      <c r="D9" s="41" t="s">
        <v>195</v>
      </c>
      <c r="E9" s="41" t="s">
        <v>196</v>
      </c>
      <c r="F9" s="41" t="s">
        <v>197</v>
      </c>
      <c r="G9" s="41" t="s">
        <v>198</v>
      </c>
      <c r="H9" s="42" t="s">
        <v>24</v>
      </c>
    </row>
    <row r="10" customFormat="false" ht="30" hidden="false" customHeight="true" outlineLevel="0" collapsed="false">
      <c r="B10" s="41" t="s">
        <v>199</v>
      </c>
      <c r="C10" s="41" t="s">
        <v>200</v>
      </c>
      <c r="D10" s="41" t="s">
        <v>195</v>
      </c>
      <c r="E10" s="41" t="s">
        <v>201</v>
      </c>
      <c r="F10" s="41" t="s">
        <v>202</v>
      </c>
      <c r="G10" s="41" t="s">
        <v>203</v>
      </c>
      <c r="H10" s="42" t="s">
        <v>204</v>
      </c>
    </row>
    <row r="11" customFormat="false" ht="30" hidden="false" customHeight="true" outlineLevel="0" collapsed="false">
      <c r="B11" s="41" t="s">
        <v>205</v>
      </c>
      <c r="C11" s="41" t="s">
        <v>206</v>
      </c>
      <c r="D11" s="41" t="s">
        <v>207</v>
      </c>
      <c r="E11" s="41" t="s">
        <v>208</v>
      </c>
      <c r="F11" s="41" t="s">
        <v>26</v>
      </c>
      <c r="G11" s="41" t="s">
        <v>209</v>
      </c>
      <c r="H11" s="42" t="s">
        <v>26</v>
      </c>
    </row>
    <row r="12" customFormat="false" ht="30" hidden="false" customHeight="true" outlineLevel="0" collapsed="false">
      <c r="B12" s="41" t="s">
        <v>210</v>
      </c>
      <c r="C12" s="41" t="s">
        <v>211</v>
      </c>
      <c r="D12" s="41" t="s">
        <v>207</v>
      </c>
      <c r="E12" s="41" t="s">
        <v>212</v>
      </c>
      <c r="F12" s="41" t="s">
        <v>213</v>
      </c>
      <c r="G12" s="41" t="s">
        <v>214</v>
      </c>
      <c r="H12" s="42" t="s">
        <v>27</v>
      </c>
    </row>
    <row r="13" customFormat="false" ht="30" hidden="false" customHeight="true" outlineLevel="0" collapsed="false">
      <c r="B13" s="41" t="s">
        <v>215</v>
      </c>
      <c r="C13" s="41" t="s">
        <v>216</v>
      </c>
      <c r="D13" s="41" t="s">
        <v>207</v>
      </c>
      <c r="E13" s="41" t="s">
        <v>217</v>
      </c>
      <c r="F13" s="41" t="s">
        <v>218</v>
      </c>
      <c r="G13" s="41" t="s">
        <v>219</v>
      </c>
      <c r="H13" s="42" t="s">
        <v>207</v>
      </c>
    </row>
    <row r="14" customFormat="false" ht="30" hidden="false" customHeight="true" outlineLevel="0" collapsed="false">
      <c r="B14" s="41" t="s">
        <v>220</v>
      </c>
      <c r="C14" s="41" t="s">
        <v>221</v>
      </c>
      <c r="D14" s="41" t="s">
        <v>195</v>
      </c>
      <c r="E14" s="41" t="s">
        <v>201</v>
      </c>
      <c r="F14" s="41" t="s">
        <v>202</v>
      </c>
      <c r="G14" s="41" t="s">
        <v>222</v>
      </c>
      <c r="H14" s="42" t="s">
        <v>204</v>
      </c>
    </row>
    <row r="16" customFormat="false" ht="16.15" hidden="false" customHeight="false" outlineLevel="0" collapsed="false">
      <c r="B16" s="36" t="s">
        <v>223</v>
      </c>
      <c r="C16" s="43" t="s">
        <v>80</v>
      </c>
      <c r="D16" s="35" t="s">
        <v>224</v>
      </c>
    </row>
    <row r="19" customFormat="false" ht="17.35" hidden="false" customHeight="false" outlineLevel="0" collapsed="false">
      <c r="B19" s="39" t="s">
        <v>225</v>
      </c>
    </row>
    <row r="20" customFormat="false" ht="15" hidden="false" customHeight="false" outlineLevel="0" collapsed="false">
      <c r="B20" s="35" t="s">
        <v>226</v>
      </c>
    </row>
    <row r="21" customFormat="false" ht="15" hidden="false" customHeight="false" outlineLevel="0" collapsed="false">
      <c r="B21" s="40" t="s">
        <v>186</v>
      </c>
      <c r="C21" s="40" t="s">
        <v>187</v>
      </c>
      <c r="D21" s="40" t="s">
        <v>188</v>
      </c>
      <c r="E21" s="40" t="s">
        <v>189</v>
      </c>
      <c r="F21" s="40" t="s">
        <v>190</v>
      </c>
      <c r="G21" s="40" t="s">
        <v>191</v>
      </c>
      <c r="H21" s="40" t="s">
        <v>192</v>
      </c>
    </row>
    <row r="22" customFormat="false" ht="30" hidden="false" customHeight="true" outlineLevel="0" collapsed="false">
      <c r="B22" s="41" t="s">
        <v>207</v>
      </c>
      <c r="C22" s="41" t="s">
        <v>189</v>
      </c>
      <c r="D22" s="41" t="s">
        <v>207</v>
      </c>
      <c r="E22" s="41" t="s">
        <v>212</v>
      </c>
      <c r="F22" s="41" t="s">
        <v>227</v>
      </c>
      <c r="G22" s="41" t="s">
        <v>228</v>
      </c>
      <c r="H22" s="42" t="s">
        <v>20</v>
      </c>
    </row>
    <row r="23" customFormat="false" ht="30" hidden="false" customHeight="true" outlineLevel="0" collapsed="false">
      <c r="B23" s="41" t="s">
        <v>195</v>
      </c>
      <c r="C23" s="41" t="s">
        <v>229</v>
      </c>
      <c r="D23" s="41" t="s">
        <v>207</v>
      </c>
      <c r="E23" s="41" t="s">
        <v>212</v>
      </c>
      <c r="F23" s="41" t="s">
        <v>230</v>
      </c>
      <c r="G23" s="41" t="s">
        <v>231</v>
      </c>
      <c r="H23" s="42" t="s">
        <v>37</v>
      </c>
    </row>
    <row r="24" customFormat="false" ht="30" hidden="false" customHeight="true" outlineLevel="0" collapsed="false">
      <c r="B24" s="41" t="s">
        <v>232</v>
      </c>
      <c r="C24" s="41" t="s">
        <v>233</v>
      </c>
      <c r="D24" s="41" t="s">
        <v>207</v>
      </c>
      <c r="E24" s="41" t="s">
        <v>212</v>
      </c>
      <c r="F24" s="41" t="s">
        <v>234</v>
      </c>
      <c r="G24" s="41" t="s">
        <v>235</v>
      </c>
      <c r="H24" s="42" t="s">
        <v>17</v>
      </c>
    </row>
    <row r="25" customFormat="false" ht="30" hidden="false" customHeight="true" outlineLevel="0" collapsed="false">
      <c r="B25" s="41" t="s">
        <v>236</v>
      </c>
      <c r="C25" s="41" t="s">
        <v>237</v>
      </c>
      <c r="D25" s="41" t="s">
        <v>207</v>
      </c>
      <c r="E25" s="41" t="s">
        <v>217</v>
      </c>
      <c r="F25" s="41" t="s">
        <v>218</v>
      </c>
      <c r="G25" s="41" t="s">
        <v>238</v>
      </c>
      <c r="H25" s="42" t="s">
        <v>207</v>
      </c>
    </row>
    <row r="26" customFormat="false" ht="30" hidden="false" customHeight="true" outlineLevel="0" collapsed="false">
      <c r="B26" s="41" t="s">
        <v>205</v>
      </c>
      <c r="C26" s="41" t="s">
        <v>206</v>
      </c>
      <c r="D26" s="41" t="s">
        <v>207</v>
      </c>
      <c r="E26" s="41" t="s">
        <v>208</v>
      </c>
      <c r="F26" s="41" t="s">
        <v>26</v>
      </c>
      <c r="G26" s="41" t="s">
        <v>239</v>
      </c>
      <c r="H26" s="42" t="s">
        <v>26</v>
      </c>
    </row>
    <row r="27" customFormat="false" ht="30" hidden="false" customHeight="true" outlineLevel="0" collapsed="false">
      <c r="B27" s="41" t="s">
        <v>240</v>
      </c>
      <c r="C27" s="41" t="s">
        <v>241</v>
      </c>
      <c r="D27" s="41" t="s">
        <v>242</v>
      </c>
      <c r="E27" s="41" t="s">
        <v>243</v>
      </c>
      <c r="F27" s="41" t="s">
        <v>244</v>
      </c>
      <c r="G27" s="41" t="s">
        <v>245</v>
      </c>
      <c r="H27" s="42" t="s">
        <v>86</v>
      </c>
    </row>
    <row r="29" customFormat="false" ht="16.15" hidden="false" customHeight="false" outlineLevel="0" collapsed="false">
      <c r="B29" s="36" t="s">
        <v>223</v>
      </c>
      <c r="C29" s="43" t="s">
        <v>87</v>
      </c>
      <c r="E29" s="35" t="s">
        <v>246</v>
      </c>
    </row>
    <row r="32" customFormat="false" ht="17.35" hidden="false" customHeight="false" outlineLevel="0" collapsed="false">
      <c r="B32" s="39" t="s">
        <v>247</v>
      </c>
    </row>
    <row r="33" customFormat="false" ht="15" hidden="false" customHeight="false" outlineLevel="0" collapsed="false">
      <c r="B33" s="40" t="s">
        <v>248</v>
      </c>
      <c r="C33" s="40" t="s">
        <v>211</v>
      </c>
    </row>
    <row r="34" customFormat="false" ht="15" hidden="false" customHeight="false" outlineLevel="0" collapsed="false">
      <c r="B34" s="42" t="s">
        <v>27</v>
      </c>
      <c r="C34" s="41" t="s">
        <v>249</v>
      </c>
    </row>
    <row r="35" customFormat="false" ht="15" hidden="false" customHeight="false" outlineLevel="0" collapsed="false">
      <c r="B35" s="42" t="s">
        <v>17</v>
      </c>
      <c r="C35" s="41" t="s">
        <v>250</v>
      </c>
    </row>
    <row r="36" customFormat="false" ht="15" hidden="false" customHeight="false" outlineLevel="0" collapsed="false">
      <c r="B36" s="42" t="s">
        <v>28</v>
      </c>
      <c r="C36" s="41" t="s">
        <v>251</v>
      </c>
    </row>
    <row r="37" customFormat="false" ht="15" hidden="false" customHeight="false" outlineLevel="0" collapsed="false">
      <c r="B37" s="42" t="s">
        <v>41</v>
      </c>
      <c r="C37" s="41" t="s">
        <v>252</v>
      </c>
    </row>
    <row r="38" customFormat="false" ht="15" hidden="false" customHeight="false" outlineLevel="0" collapsed="false">
      <c r="B38" s="42" t="s">
        <v>47</v>
      </c>
      <c r="C38" s="41" t="s">
        <v>253</v>
      </c>
    </row>
    <row r="40" customFormat="false" ht="17.35" hidden="false" customHeight="false" outlineLevel="0" collapsed="false">
      <c r="B40" s="39" t="s">
        <v>254</v>
      </c>
    </row>
    <row r="41" customFormat="false" ht="15" hidden="false" customHeight="false" outlineLevel="0" collapsed="false">
      <c r="B41" s="35" t="s">
        <v>255</v>
      </c>
    </row>
    <row r="42" customFormat="false" ht="15" hidden="false" customHeight="false" outlineLevel="0" collapsed="false">
      <c r="B42" s="40" t="s">
        <v>256</v>
      </c>
      <c r="C42" s="40" t="s">
        <v>194</v>
      </c>
      <c r="D42" s="40" t="s">
        <v>200</v>
      </c>
      <c r="E42" s="40" t="s">
        <v>211</v>
      </c>
      <c r="F42" s="40" t="s">
        <v>257</v>
      </c>
      <c r="G42" s="40" t="s">
        <v>258</v>
      </c>
      <c r="H42" s="40" t="s">
        <v>259</v>
      </c>
    </row>
    <row r="43" customFormat="false" ht="15" hidden="false" customHeight="false" outlineLevel="0" collapsed="false">
      <c r="B43" s="44" t="s">
        <v>80</v>
      </c>
      <c r="C43" s="45" t="str">
        <f aca="false">IF(B43="","",LEFT(B43,2))</f>
        <v>EL</v>
      </c>
      <c r="D43" s="45" t="str">
        <f aca="false">IF(B43="","",MID(B43,3,2))</f>
        <v>01</v>
      </c>
      <c r="E43" s="45" t="str">
        <f aca="false">IF(B43="","",IFERROR(INDEX($C$34:$C$38,MATCH(MID(B43,6,1),$B$34:$B$38,0)),"área inválida"))</f>
        <v>Recebimento</v>
      </c>
      <c r="F43" s="45" t="str">
        <f aca="false">IF(B43="","","L"&amp;MID(B43,7,1)&amp;" / G"&amp;MID(B43,8,2))</f>
        <v>L1 / G01</v>
      </c>
      <c r="G43" s="45" t="str">
        <f aca="false">IF(B43="","",IFERROR(INDEX(Planilha1!$D$8:$D$97,MATCH(C43,Planilha1!$E$8:$E$97,0)),"sigla não cadastrada"))</f>
        <v>ELEVADOR</v>
      </c>
      <c r="H43" s="45" t="str">
        <f aca="false">IF(B43="","",IF(AND(LEN(B43)=9,MID(B43,5,1)="-",ISNUMBER(--MID(B43,3,2)),ISNUMBER(--MID(B43,7,3)),COUNTIF($B$34:$B$38,MID(B43,6,1))=1,COUNTIF(Planilha1!$E$8:$E$97,C43)&gt;0),"OK","VERIFICAR"))</f>
        <v>OK</v>
      </c>
    </row>
    <row r="44" customFormat="false" ht="15" hidden="false" customHeight="false" outlineLevel="0" collapsed="false">
      <c r="B44" s="44" t="s">
        <v>84</v>
      </c>
      <c r="C44" s="45" t="str">
        <f aca="false">IF(B44="","",LEFT(B44,2))</f>
        <v>TC</v>
      </c>
      <c r="D44" s="45" t="str">
        <f aca="false">IF(B44="","",MID(B44,3,2))</f>
        <v>01</v>
      </c>
      <c r="E44" s="45" t="str">
        <f aca="false">IF(B44="","",IFERROR(INDEX($C$34:$C$38,MATCH(MID(B44,6,1),$B$34:$B$38,0)),"área inválida"))</f>
        <v>Recebimento</v>
      </c>
      <c r="F44" s="45" t="str">
        <f aca="false">IF(B44="","","L"&amp;MID(B44,7,1)&amp;" / G"&amp;MID(B44,8,2))</f>
        <v>L1 / G01</v>
      </c>
      <c r="G44" s="45" t="str">
        <f aca="false">IF(B44="","",IFERROR(INDEX(Planilha1!$D$8:$D$97,MATCH(C44,Planilha1!$E$8:$E$97,0)),"sigla não cadastrada"))</f>
        <v>TRANSPORTADOR CORRENTE</v>
      </c>
      <c r="H44" s="45" t="str">
        <f aca="false">IF(B44="","",IF(AND(LEN(B44)=9,MID(B44,5,1)="-",ISNUMBER(--MID(B44,3,2)),ISNUMBER(--MID(B44,7,3)),COUNTIF($B$34:$B$38,MID(B44,6,1))=1,COUNTIF(Planilha1!$E$8:$E$97,C44)&gt;0),"OK","VERIFICAR"))</f>
        <v>OK</v>
      </c>
    </row>
    <row r="45" customFormat="false" ht="15" hidden="false" customHeight="false" outlineLevel="0" collapsed="false">
      <c r="B45" s="44" t="s">
        <v>86</v>
      </c>
      <c r="C45" s="45" t="str">
        <f aca="false">IF(B45="","",LEFT(B45,2))</f>
        <v>GP</v>
      </c>
      <c r="D45" s="45" t="str">
        <f aca="false">IF(B45="","",MID(B45,3,2))</f>
        <v>01</v>
      </c>
      <c r="E45" s="45" t="str">
        <f aca="false">IF(B45="","",IFERROR(INDEX($C$34:$C$38,MATCH(MID(B45,6,1),$B$34:$B$38,0)),"área inválida"))</f>
        <v>Recebimento</v>
      </c>
      <c r="F45" s="45" t="str">
        <f aca="false">IF(B45="","","L"&amp;MID(B45,7,1)&amp;" / G"&amp;MID(B45,8,2))</f>
        <v>L1 / G01</v>
      </c>
      <c r="G45" s="45" t="str">
        <f aca="false">IF(B45="","",IFERROR(INDEX(Planilha1!$D$8:$D$97,MATCH(C45,Planilha1!$E$8:$E$97,0)),"sigla não cadastrada"))</f>
        <v>GAVETA PNEUMÁTICA</v>
      </c>
      <c r="H45" s="45" t="str">
        <f aca="false">IF(B45="","",IF(AND(LEN(B45)=9,MID(B45,5,1)="-",ISNUMBER(--MID(B45,3,2)),ISNUMBER(--MID(B45,7,3)),COUNTIF($B$34:$B$38,MID(B45,6,1))=1,COUNTIF(Planilha1!$E$8:$E$97,C45)&gt;0),"OK","VERIFICAR"))</f>
        <v>OK</v>
      </c>
    </row>
    <row r="46" customFormat="false" ht="15" hidden="false" customHeight="false" outlineLevel="0" collapsed="false">
      <c r="B46" s="44" t="s">
        <v>100</v>
      </c>
      <c r="C46" s="45" t="str">
        <f aca="false">IF(B46="","",LEFT(B46,2))</f>
        <v>GP</v>
      </c>
      <c r="D46" s="45" t="str">
        <f aca="false">IF(B46="","",MID(B46,3,2))</f>
        <v>02</v>
      </c>
      <c r="E46" s="45" t="str">
        <f aca="false">IF(B46="","",IFERROR(INDEX($C$34:$C$38,MATCH(MID(B46,6,1),$B$34:$B$38,0)),"área inválida"))</f>
        <v>Recebimento</v>
      </c>
      <c r="F46" s="45" t="str">
        <f aca="false">IF(B46="","","L"&amp;MID(B46,7,1)&amp;" / G"&amp;MID(B46,8,2))</f>
        <v>L1 / G01</v>
      </c>
      <c r="G46" s="45" t="str">
        <f aca="false">IF(B46="","",IFERROR(INDEX(Planilha1!$D$8:$D$97,MATCH(C46,Planilha1!$E$8:$E$97,0)),"sigla não cadastrada"))</f>
        <v>GAVETA PNEUMÁTICA</v>
      </c>
      <c r="H46" s="45" t="str">
        <f aca="false">IF(B46="","",IF(AND(LEN(B46)=9,MID(B46,5,1)="-",ISNUMBER(--MID(B46,3,2)),ISNUMBER(--MID(B46,7,3)),COUNTIF($B$34:$B$38,MID(B46,6,1))=1,COUNTIF(Planilha1!$E$8:$E$97,C46)&gt;0),"OK","VERIFICAR"))</f>
        <v>OK</v>
      </c>
    </row>
    <row r="48" customFormat="false" ht="15" hidden="false" customHeight="false" outlineLevel="0" collapsed="false">
      <c r="B48" s="46" t="s">
        <v>260</v>
      </c>
    </row>
    <row r="51" customFormat="false" ht="17.35" hidden="false" customHeight="false" outlineLevel="0" collapsed="false">
      <c r="B51" s="39" t="s">
        <v>261</v>
      </c>
    </row>
    <row r="52" customFormat="false" ht="15" hidden="false" customHeight="false" outlineLevel="0" collapsed="false">
      <c r="B52" s="35" t="s">
        <v>255</v>
      </c>
    </row>
    <row r="53" customFormat="false" ht="15" hidden="false" customHeight="false" outlineLevel="0" collapsed="false">
      <c r="B53" s="40" t="s">
        <v>256</v>
      </c>
      <c r="C53" s="40" t="s">
        <v>262</v>
      </c>
      <c r="D53" s="40" t="s">
        <v>237</v>
      </c>
      <c r="E53" s="40" t="s">
        <v>241</v>
      </c>
      <c r="F53" s="40" t="s">
        <v>263</v>
      </c>
      <c r="G53" s="40" t="s">
        <v>258</v>
      </c>
      <c r="H53" s="40" t="s">
        <v>259</v>
      </c>
    </row>
    <row r="54" customFormat="false" ht="15" hidden="false" customHeight="false" outlineLevel="0" collapsed="false">
      <c r="B54" s="44" t="s">
        <v>87</v>
      </c>
      <c r="C54" s="45" t="str">
        <f aca="false">IF(B54="","",LEFT(B54,3))</f>
        <v>SPA</v>
      </c>
      <c r="D54" s="45" t="str">
        <f aca="false">IF(B54="","",MID(B54,4,1))</f>
        <v>1</v>
      </c>
      <c r="E54" s="45" t="str">
        <f aca="false">IF(B54="","",MID(B54,6,9))</f>
        <v>GP01-R101</v>
      </c>
      <c r="F54" s="45" t="str">
        <f aca="false">IF(B54="","",IFERROR(INDEX(Planilha1!$P$8:$P$61,MATCH(C54,Planilha1!$O$8:$O$61,0)),"atributo não cadastrado"))</f>
        <v>SENSOR DE POSIÇÃO ABERTO</v>
      </c>
      <c r="G54" s="45" t="str">
        <f aca="false">IF(B54="","",IFERROR(INDEX(Planilha1!$D$8:$D$97,MATCH(LEFT(E54,2),Planilha1!$E$8:$E$97,0)),"sigla não cadastrada"))</f>
        <v>GAVETA PNEUMÁTICA</v>
      </c>
      <c r="H54" s="45" t="str">
        <f aca="false">IF(B54="","",IF(AND(LEN(B54)=14,MID(B54,5,1)="-",MID(B54,10,1)="-",ISNUMBER(--MID(B54,4,1)),COUNTIF(Planilha1!$O$8:$O$61,C54)&gt;0,COUNTIF(Planilha1!$E$8:$E$97,LEFT(E54,2))&gt;0),"OK","VERIFICAR"))</f>
        <v>OK</v>
      </c>
    </row>
    <row r="55" customFormat="false" ht="28.35" hidden="false" customHeight="false" outlineLevel="0" collapsed="false">
      <c r="B55" s="44" t="s">
        <v>89</v>
      </c>
      <c r="C55" s="45" t="str">
        <f aca="false">IF(B55="","",LEFT(B55,3))</f>
        <v>SPF</v>
      </c>
      <c r="D55" s="45" t="str">
        <f aca="false">IF(B55="","",MID(B55,4,1))</f>
        <v>1</v>
      </c>
      <c r="E55" s="45" t="str">
        <f aca="false">IF(B55="","",MID(B55,6,9))</f>
        <v>GP01-R101</v>
      </c>
      <c r="F55" s="45" t="str">
        <f aca="false">IF(B55="","",IFERROR(INDEX(Planilha1!$P$8:$P$61,MATCH(C55,Planilha1!$O$8:$O$61,0)),"atributo não cadastrado"))</f>
        <v>SENSOR DE POSIÇÃO FECHADO</v>
      </c>
      <c r="G55" s="45" t="str">
        <f aca="false">IF(B55="","",IFERROR(INDEX(Planilha1!$D$8:$D$97,MATCH(LEFT(E55,2),Planilha1!$E$8:$E$97,0)),"sigla não cadastrada"))</f>
        <v>GAVETA PNEUMÁTICA</v>
      </c>
      <c r="H55" s="45" t="str">
        <f aca="false">IF(B55="","",IF(AND(LEN(B55)=14,MID(B55,5,1)="-",MID(B55,10,1)="-",ISNUMBER(--MID(B55,4,1)),COUNTIF(Planilha1!$O$8:$O$61,C55)&gt;0,COUNTIF(Planilha1!$E$8:$E$97,LEFT(E55,2))&gt;0),"OK","VERIFICAR"))</f>
        <v>OK</v>
      </c>
    </row>
    <row r="56" customFormat="false" ht="15" hidden="false" customHeight="false" outlineLevel="0" collapsed="false">
      <c r="B56" s="44" t="s">
        <v>92</v>
      </c>
      <c r="C56" s="45" t="str">
        <f aca="false">IF(B56="","",LEFT(B56,3))</f>
        <v>EVA</v>
      </c>
      <c r="D56" s="45" t="str">
        <f aca="false">IF(B56="","",MID(B56,4,1))</f>
        <v>1</v>
      </c>
      <c r="E56" s="45" t="str">
        <f aca="false">IF(B56="","",MID(B56,6,9))</f>
        <v>GP01-R101</v>
      </c>
      <c r="F56" s="45" t="str">
        <f aca="false">IF(B56="","",IFERROR(INDEX(Planilha1!$P$8:$P$61,MATCH(C56,Planilha1!$O$8:$O$61,0)),"atributo não cadastrado"))</f>
        <v>ELETRO VÁLVULA ABRE</v>
      </c>
      <c r="G56" s="45" t="str">
        <f aca="false">IF(B56="","",IFERROR(INDEX(Planilha1!$D$8:$D$97,MATCH(LEFT(E56,2),Planilha1!$E$8:$E$97,0)),"sigla não cadastrada"))</f>
        <v>GAVETA PNEUMÁTICA</v>
      </c>
      <c r="H56" s="45" t="str">
        <f aca="false">IF(B56="","",IF(AND(LEN(B56)=14,MID(B56,5,1)="-",MID(B56,10,1)="-",ISNUMBER(--MID(B56,4,1)),COUNTIF(Planilha1!$O$8:$O$61,C56)&gt;0,COUNTIF(Planilha1!$E$8:$E$97,LEFT(E56,2))&gt;0),"OK","VERIFICAR"))</f>
        <v>OK</v>
      </c>
    </row>
    <row r="57" customFormat="false" ht="15" hidden="false" customHeight="false" outlineLevel="0" collapsed="false">
      <c r="B57" s="44" t="s">
        <v>96</v>
      </c>
      <c r="C57" s="45" t="str">
        <f aca="false">IF(B57="","",LEFT(B57,3))</f>
        <v>EVF</v>
      </c>
      <c r="D57" s="45" t="str">
        <f aca="false">IF(B57="","",MID(B57,4,1))</f>
        <v>1</v>
      </c>
      <c r="E57" s="45" t="str">
        <f aca="false">IF(B57="","",MID(B57,6,9))</f>
        <v>GP01-R101</v>
      </c>
      <c r="F57" s="45" t="str">
        <f aca="false">IF(B57="","",IFERROR(INDEX(Planilha1!$P$8:$P$61,MATCH(C57,Planilha1!$O$8:$O$61,0)),"atributo não cadastrado"))</f>
        <v>ELETRO VÁLVULA FECHA</v>
      </c>
      <c r="G57" s="45" t="str">
        <f aca="false">IF(B57="","",IFERROR(INDEX(Planilha1!$D$8:$D$97,MATCH(LEFT(E57,2),Planilha1!$E$8:$E$97,0)),"sigla não cadastrada"))</f>
        <v>GAVETA PNEUMÁTICA</v>
      </c>
      <c r="H57" s="45" t="str">
        <f aca="false">IF(B57="","",IF(AND(LEN(B57)=14,MID(B57,5,1)="-",MID(B57,10,1)="-",ISNUMBER(--MID(B57,4,1)),COUNTIF(Planilha1!$O$8:$O$61,C57)&gt;0,COUNTIF(Planilha1!$E$8:$E$97,LEFT(E57,2))&gt;0),"OK","VERIFICAR"))</f>
        <v>OK</v>
      </c>
    </row>
    <row r="58" customFormat="false" ht="15" hidden="false" customHeight="false" outlineLevel="0" collapsed="false">
      <c r="B58" s="44" t="s">
        <v>101</v>
      </c>
      <c r="C58" s="45" t="str">
        <f aca="false">IF(B58="","",LEFT(B58,3))</f>
        <v>SPA</v>
      </c>
      <c r="D58" s="45" t="str">
        <f aca="false">IF(B58="","",MID(B58,4,1))</f>
        <v>1</v>
      </c>
      <c r="E58" s="45" t="str">
        <f aca="false">IF(B58="","",MID(B58,6,9))</f>
        <v>GP02-R101</v>
      </c>
      <c r="F58" s="45" t="str">
        <f aca="false">IF(B58="","",IFERROR(INDEX(Planilha1!$P$8:$P$61,MATCH(C58,Planilha1!$O$8:$O$61,0)),"atributo não cadastrado"))</f>
        <v>SENSOR DE POSIÇÃO ABERTO</v>
      </c>
      <c r="G58" s="45" t="str">
        <f aca="false">IF(B58="","",IFERROR(INDEX(Planilha1!$D$8:$D$97,MATCH(LEFT(E58,2),Planilha1!$E$8:$E$97,0)),"sigla não cadastrada"))</f>
        <v>GAVETA PNEUMÁTICA</v>
      </c>
      <c r="H58" s="45" t="str">
        <f aca="false">IF(B58="","",IF(AND(LEN(B58)=14,MID(B58,5,1)="-",MID(B58,10,1)="-",ISNUMBER(--MID(B58,4,1)),COUNTIF(Planilha1!$O$8:$O$61,C58)&gt;0,COUNTIF(Planilha1!$E$8:$E$97,LEFT(E58,2))&gt;0),"OK","VERIFICAR"))</f>
        <v>OK</v>
      </c>
    </row>
    <row r="59" customFormat="false" ht="28.35" hidden="false" customHeight="false" outlineLevel="0" collapsed="false">
      <c r="B59" s="44" t="s">
        <v>105</v>
      </c>
      <c r="C59" s="45" t="str">
        <f aca="false">IF(B59="","",LEFT(B59,3))</f>
        <v>SPF</v>
      </c>
      <c r="D59" s="45" t="str">
        <f aca="false">IF(B59="","",MID(B59,4,1))</f>
        <v>1</v>
      </c>
      <c r="E59" s="45" t="str">
        <f aca="false">IF(B59="","",MID(B59,6,9))</f>
        <v>GP02-R101</v>
      </c>
      <c r="F59" s="45" t="str">
        <f aca="false">IF(B59="","",IFERROR(INDEX(Planilha1!$P$8:$P$61,MATCH(C59,Planilha1!$O$8:$O$61,0)),"atributo não cadastrado"))</f>
        <v>SENSOR DE POSIÇÃO FECHADO</v>
      </c>
      <c r="G59" s="45" t="str">
        <f aca="false">IF(B59="","",IFERROR(INDEX(Planilha1!$D$8:$D$97,MATCH(LEFT(E59,2),Planilha1!$E$8:$E$97,0)),"sigla não cadastrada"))</f>
        <v>GAVETA PNEUMÁTICA</v>
      </c>
      <c r="H59" s="45" t="str">
        <f aca="false">IF(B59="","",IF(AND(LEN(B59)=14,MID(B59,5,1)="-",MID(B59,10,1)="-",ISNUMBER(--MID(B59,4,1)),COUNTIF(Planilha1!$O$8:$O$61,C59)&gt;0,COUNTIF(Planilha1!$E$8:$E$97,LEFT(E59,2))&gt;0),"OK","VERIFICAR"))</f>
        <v>OK</v>
      </c>
    </row>
    <row r="60" customFormat="false" ht="15" hidden="false" customHeight="false" outlineLevel="0" collapsed="false">
      <c r="B60" s="44" t="s">
        <v>109</v>
      </c>
      <c r="C60" s="45" t="str">
        <f aca="false">IF(B60="","",LEFT(B60,3))</f>
        <v>EVA</v>
      </c>
      <c r="D60" s="45" t="str">
        <f aca="false">IF(B60="","",MID(B60,4,1))</f>
        <v>1</v>
      </c>
      <c r="E60" s="45" t="str">
        <f aca="false">IF(B60="","",MID(B60,6,9))</f>
        <v>GP02-R101</v>
      </c>
      <c r="F60" s="45" t="str">
        <f aca="false">IF(B60="","",IFERROR(INDEX(Planilha1!$P$8:$P$61,MATCH(C60,Planilha1!$O$8:$O$61,0)),"atributo não cadastrado"))</f>
        <v>ELETRO VÁLVULA ABRE</v>
      </c>
      <c r="G60" s="45" t="str">
        <f aca="false">IF(B60="","",IFERROR(INDEX(Planilha1!$D$8:$D$97,MATCH(LEFT(E60,2),Planilha1!$E$8:$E$97,0)),"sigla não cadastrada"))</f>
        <v>GAVETA PNEUMÁTICA</v>
      </c>
      <c r="H60" s="45" t="str">
        <f aca="false">IF(B60="","",IF(AND(LEN(B60)=14,MID(B60,5,1)="-",MID(B60,10,1)="-",ISNUMBER(--MID(B60,4,1)),COUNTIF(Planilha1!$O$8:$O$61,C60)&gt;0,COUNTIF(Planilha1!$E$8:$E$97,LEFT(E60,2))&gt;0),"OK","VERIFICAR"))</f>
        <v>OK</v>
      </c>
    </row>
    <row r="61" customFormat="false" ht="15" hidden="false" customHeight="false" outlineLevel="0" collapsed="false">
      <c r="B61" s="44" t="s">
        <v>112</v>
      </c>
      <c r="C61" s="45" t="str">
        <f aca="false">IF(B61="","",LEFT(B61,3))</f>
        <v>EVF</v>
      </c>
      <c r="D61" s="45" t="str">
        <f aca="false">IF(B61="","",MID(B61,4,1))</f>
        <v>1</v>
      </c>
      <c r="E61" s="45" t="str">
        <f aca="false">IF(B61="","",MID(B61,6,9))</f>
        <v>GP02-R101</v>
      </c>
      <c r="F61" s="45" t="str">
        <f aca="false">IF(B61="","",IFERROR(INDEX(Planilha1!$P$8:$P$61,MATCH(C61,Planilha1!$O$8:$O$61,0)),"atributo não cadastrado"))</f>
        <v>ELETRO VÁLVULA FECHA</v>
      </c>
      <c r="G61" s="45" t="str">
        <f aca="false">IF(B61="","",IFERROR(INDEX(Planilha1!$D$8:$D$97,MATCH(LEFT(E61,2),Planilha1!$E$8:$E$97,0)),"sigla não cadastrada"))</f>
        <v>GAVETA PNEUMÁTICA</v>
      </c>
      <c r="H61" s="45" t="str">
        <f aca="false">IF(B61="","",IF(AND(LEN(B61)=14,MID(B61,5,1)="-",MID(B61,10,1)="-",ISNUMBER(--MID(B61,4,1)),COUNTIF(Planilha1!$O$8:$O$61,C61)&gt;0,COUNTIF(Planilha1!$E$8:$E$97,LEFT(E61,2))&gt;0),"OK","VERIFICAR"))</f>
        <v>OK</v>
      </c>
    </row>
    <row r="64" customFormat="false" ht="17.35" hidden="false" customHeight="false" outlineLevel="0" collapsed="false">
      <c r="B64" s="39" t="s">
        <v>264</v>
      </c>
    </row>
    <row r="65" customFormat="false" ht="15" hidden="false" customHeight="false" outlineLevel="0" collapsed="false">
      <c r="B65" s="47" t="s">
        <v>265</v>
      </c>
      <c r="C65" s="48" t="s">
        <v>266</v>
      </c>
    </row>
    <row r="66" customFormat="false" ht="15" hidden="false" customHeight="false" outlineLevel="0" collapsed="false">
      <c r="B66" s="47" t="s">
        <v>267</v>
      </c>
      <c r="C66" s="48" t="s">
        <v>268</v>
      </c>
    </row>
    <row r="67" customFormat="false" ht="15" hidden="false" customHeight="false" outlineLevel="0" collapsed="false">
      <c r="B67" s="47" t="s">
        <v>269</v>
      </c>
      <c r="C67" s="48" t="s">
        <v>270</v>
      </c>
    </row>
    <row r="68" customFormat="false" ht="15" hidden="false" customHeight="false" outlineLevel="0" collapsed="false">
      <c r="B68" s="47" t="s">
        <v>271</v>
      </c>
      <c r="C68" s="48" t="s">
        <v>272</v>
      </c>
    </row>
    <row r="69" customFormat="false" ht="15" hidden="false" customHeight="false" outlineLevel="0" collapsed="false">
      <c r="B69" s="47" t="s">
        <v>273</v>
      </c>
      <c r="C69" s="48" t="s">
        <v>274</v>
      </c>
    </row>
    <row r="70" customFormat="false" ht="15" hidden="false" customHeight="false" outlineLevel="0" collapsed="false">
      <c r="B70" s="47" t="s">
        <v>275</v>
      </c>
      <c r="C70" s="48" t="s">
        <v>276</v>
      </c>
    </row>
  </sheetData>
  <conditionalFormatting sqref="H43:H46">
    <cfRule type="expression" priority="2" aboveAverage="0" equalAverage="0" bottom="0" percent="0" rank="0" text="" dxfId="4">
      <formula>H43="OK"</formula>
    </cfRule>
    <cfRule type="expression" priority="3" aboveAverage="0" equalAverage="0" bottom="0" percent="0" rank="0" text="" dxfId="5">
      <formula>H43="VERIFICAR"</formula>
    </cfRule>
  </conditionalFormatting>
  <conditionalFormatting sqref="H54:H61">
    <cfRule type="expression" priority="4" aboveAverage="0" equalAverage="0" bottom="0" percent="0" rank="0" text="" dxfId="4">
      <formula>H54="OK"</formula>
    </cfRule>
    <cfRule type="expression" priority="5" aboveAverage="0" equalAverage="0" bottom="0" percent="0" rank="0" text="" dxfId="5">
      <formula>H54="VERIFICAR"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2026-09-20T18:20:25Z</dcterms:created>
  <dc:creator>ODERLAN JOSÉ COLCENTI</dc:creator>
  <dc:description/>
  <dc:language>en-US</dc:language>
  <cp:lastModifiedBy>ODERLAN JOSÉ COLCENTI</cp:lastModifiedBy>
  <dcterms:modified xsi:type="dcterms:W3CDTF">2026-09-22T20:05:23Z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